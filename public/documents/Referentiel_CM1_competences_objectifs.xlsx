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6bfdf0bae4e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age" sheetId="1" r:id="R820f3d4ade674c92"/>
    <x:sheet xmlns:r="http://schemas.openxmlformats.org/officeDocument/2006/relationships" name="Programmation annuelle" sheetId="2" r:id="Rfe31a48746a5493b"/>
    <x:sheet xmlns:r="http://schemas.openxmlformats.org/officeDocument/2006/relationships" name="Référentiel complet" sheetId="3" r:id="Rbd90886033364007"/>
    <x:sheet xmlns:r="http://schemas.openxmlformats.org/officeDocument/2006/relationships" name="Objectifs par période" sheetId="4" r:id="R5c40351234e44573"/>
    <x:sheet xmlns:r="http://schemas.openxmlformats.org/officeDocument/2006/relationships" name="Sources et méthode" sheetId="5" r:id="Rcaf9e3c654cf48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i/>
      <x:sz val="10"/>
      <x:color rgb="FF17365D"/>
      <x:name val="Carlito"/>
    </x:font>
    <x:font>
      <x:b/>
      <x:sz val="10"/>
      <x:color rgb="FFFFFFFF"/>
      <x:name val="Carlito"/>
    </x:font>
    <x:font>
      <x:sz val="9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0">
    <x:border/>
    <x:border>
      <x:left style="thin">
        <x:color rgb="FFC8D3DC"/>
      </x:left>
      <x:right style="thin">
        <x:color rgb="FFC8D3DC"/>
      </x:right>
      <x:top style="thin">
        <x:color rgb="FFC8D3DC"/>
      </x:top>
      <x:bottom style="thin">
        <x:color rgb="FFC8D3DC"/>
      </x:bottom>
    </x:border>
    <x:border>
      <x:right style="thin">
        <x:color rgb="FFC8D3DC"/>
      </x:right>
      <x:bottom style="thin">
        <x:color rgb="FFC8D3DC"/>
      </x:bottom>
    </x:border>
    <x:border>
      <x:left style="thin">
        <x:color rgb="FFC8D3DC"/>
      </x:left>
      <x:bottom style="thin">
        <x:color rgb="FFC8D3DC"/>
      </x:bottom>
    </x:border>
    <x:border>
      <x:right style="thin">
        <x:color rgb="FFC8D3DC"/>
      </x:right>
      <x:top style="thin">
        <x:color rgb="FFC8D3DC"/>
      </x:top>
      <x:bottom style="thin">
        <x:color rgb="FFC8D3DC"/>
      </x:bottom>
    </x:border>
    <x:border>
      <x:left style="thin">
        <x:color rgb="FFC8D3DC"/>
      </x:left>
      <x:top style="thin">
        <x:color rgb="FFC8D3DC"/>
      </x:top>
      <x:bottom style="thin">
        <x:color rgb="FFC8D3DC"/>
      </x:bottom>
    </x:border>
    <x:border>
      <x:right style="thin">
        <x:color rgb="FFC8D3DC"/>
      </x:right>
      <x:top style="thin">
        <x:color rgb="FFC8D3DC"/>
      </x:top>
    </x:border>
    <x:border>
      <x:left style="thin">
        <x:color rgb="FFC8D3DC"/>
      </x:left>
      <x:top style="thin">
        <x:color rgb="FFC8D3DC"/>
      </x:top>
    </x:border>
    <x:border>
      <x:left style="thin">
        <x:color rgb="FFC8D3DC"/>
      </x:left>
      <x:right style="thin">
        <x:color rgb="FFC8D3DC"/>
      </x:right>
      <x:bottom style="thin">
        <x:color rgb="FFC8D3DC"/>
      </x:bottom>
    </x:border>
    <x:border>
      <x:left style="thin">
        <x:color rgb="FFC8D3DC"/>
      </x:left>
      <x:right style="thin">
        <x:color rgb="FFC8D3DC"/>
      </x:right>
      <x:top style="thin">
        <x:color rgb="FFC8D3DC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/>
    <x:xf numFmtId="0" fontId="4" fillId="0" borderId="1" xfId="0" applyNumberFormat="1" applyFont="1" applyFill="1" applyBorder="1"/>
    <x:xf numFmtId="0" fontId="4" fillId="0" borderId="9" xfId="0" applyNumberFormat="1" applyFont="1" applyFill="1" applyBorder="1"/>
    <x:xf numFmtId="0" fontId="4" fillId="0" borderId="8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4205b6f61440d1" /><Relationship Type="http://schemas.openxmlformats.org/officeDocument/2006/relationships/theme" Target="/xl/theme/theme1.xml" Id="R7fa5f8461b16479e" /><Relationship Type="http://schemas.openxmlformats.org/officeDocument/2006/relationships/sharedStrings" Target="/xl/sharedStrings.xml" Id="Rb02d27c8149d4022" /><Relationship Type="http://schemas.openxmlformats.org/officeDocument/2006/relationships/worksheet" Target="/xl/worksheets/sheet1.xml" Id="R820f3d4ade674c92" /><Relationship Type="http://schemas.openxmlformats.org/officeDocument/2006/relationships/worksheet" Target="/xl/worksheets/sheet2.xml" Id="Rfe31a48746a5493b" /><Relationship Type="http://schemas.openxmlformats.org/officeDocument/2006/relationships/worksheet" Target="/xl/worksheets/sheet3.xml" Id="Rbd90886033364007" /><Relationship Type="http://schemas.openxmlformats.org/officeDocument/2006/relationships/worksheet" Target="/xl/worksheets/sheet4.xml" Id="R5c40351234e44573" /><Relationship Type="http://schemas.openxmlformats.org/officeDocument/2006/relationships/worksheet" Target="/xl/worksheets/sheet5.xml" Id="Rcaf9e3c654cf485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50" hidden="0" customWidth="1"/>
    <x:col min="3" max="3" width="16" hidden="0" customWidth="1"/>
    <x:col min="4" max="4" width="16" hidden="0" customWidth="1"/>
  </x:cols>
  <x:sheetData>
    <x:row r="1" ht="30" customHeight="1">
      <x:c r="A1" s="4" t="str">
        <x:v>Référentiel pédagogique CM1 2026-2027</x:v>
      </x:c>
      <x:c r="B1" s="4"/>
      <x:c r="C1" s="4"/>
      <x:c r="D1" s="4"/>
      <x:c r="E1" s="4"/>
      <x:c r="F1" s="4"/>
    </x:row>
    <x:row r="2" ht="28" customHeight="1">
      <x:c r="A2" s="8" t="str">
        <x:v>124 compétences reliées à des objectifs opérationnels et à une programmation annuelle</x:v>
      </x:c>
      <x:c r="B2" s="8"/>
      <x:c r="C2" s="8"/>
      <x:c r="D2" s="8"/>
      <x:c r="E2" s="8"/>
      <x:c r="F2" s="8"/>
    </x:row>
    <x:row r="4">
      <x:c r="A4" s="14" t="str">
        <x:v>Mode d’emploi</x:v>
      </x:c>
      <x:c r="B4" s="14" t="str"/>
    </x:row>
    <x:row r="5" ht="34" customHeight="1">
      <x:c r="A5" s="28" t="str">
        <x:v>1</x:v>
      </x:c>
      <x:c r="B5" s="29" t="str">
        <x:v>Filtrer le Référentiel complet par matière, domaine ou période.</x:v>
      </x:c>
    </x:row>
    <x:row r="6" ht="34" customHeight="1">
      <x:c r="A6" s="30" t="str">
        <x:v>2</x:v>
      </x:c>
      <x:c r="B6" s="31" t="str">
        <x:v>Copier l’objectif et le critère de réussite dans une fiche de préparation.</x:v>
      </x:c>
    </x:row>
    <x:row r="7" ht="34" customHeight="1">
      <x:c r="A7" s="30" t="str">
        <x:v>3</x:v>
      </x:c>
      <x:c r="B7" s="31" t="str">
        <x:v>Modifier le statut au fil de l’année ; les compteurs ci-dessous se mettent à jour.</x:v>
      </x:c>
    </x:row>
    <x:row r="8" ht="34" customHeight="1">
      <x:c r="A8" s="32" t="str">
        <x:v>4</x:v>
      </x:c>
      <x:c r="B8" s="33" t="str">
        <x:v>Conserver l’identifiant stable pour la future application web.</x:v>
      </x:c>
    </x:row>
    <x:row r="10">
      <x:c r="A10" s="14" t="str">
        <x:v>Matière</x:v>
      </x:c>
      <x:c r="B10" s="14" t="str">
        <x:v>Total</x:v>
      </x:c>
      <x:c r="C10" s="14" t="str">
        <x:v>Réalisé</x:v>
      </x:c>
      <x:c r="D10" s="14" t="str">
        <x:v>À reprendre</x:v>
      </x:c>
    </x:row>
    <x:row r="11">
      <x:c r="A11" s="28" t="str">
        <x:v>Français</x:v>
      </x:c>
      <x:c r="B11" s="40" t="n">
        <x:f>COUNTIF('Référentiel complet'!$C$5:$C$128,A11)</x:f>
        <x:v>35</x:v>
      </x:c>
      <x:c r="C11" s="40" t="n">
        <x:f>COUNTIFS('Référentiel complet'!$C$5:$C$128,A11,'Référentiel complet'!$K$5:$K$128,"Réalisé")</x:f>
        <x:v>0</x:v>
      </x:c>
      <x:c r="D11" s="29" t="n">
        <x:f>COUNTIFS('Référentiel complet'!$C$5:$C$128,A11,'Référentiel complet'!$K$5:$K$128,"À reprendre")</x:f>
        <x:v>0</x:v>
      </x:c>
    </x:row>
    <x:row r="12">
      <x:c r="A12" s="30" t="str">
        <x:v>Mathématiques</x:v>
      </x:c>
      <x:c r="B12" s="41" t="n">
        <x:f>COUNTIF('Référentiel complet'!$C$5:$C$128,A12)</x:f>
        <x:v>35</x:v>
      </x:c>
      <x:c r="C12" s="41" t="n">
        <x:f>COUNTIFS('Référentiel complet'!$C$5:$C$128,A12,'Référentiel complet'!$K$5:$K$128,"Réalisé")</x:f>
        <x:v>0</x:v>
      </x:c>
      <x:c r="D12" s="31" t="n">
        <x:f>COUNTIFS('Référentiel complet'!$C$5:$C$128,A12,'Référentiel complet'!$K$5:$K$128,"À reprendre")</x:f>
        <x:v>0</x:v>
      </x:c>
    </x:row>
    <x:row r="13">
      <x:c r="A13" s="30" t="str">
        <x:v>Histoire</x:v>
      </x:c>
      <x:c r="B13" s="41" t="n">
        <x:f>COUNTIF('Référentiel complet'!$C$5:$C$128,A13)</x:f>
        <x:v>6</x:v>
      </x:c>
      <x:c r="C13" s="41" t="n">
        <x:f>COUNTIFS('Référentiel complet'!$C$5:$C$128,A13,'Référentiel complet'!$K$5:$K$128,"Réalisé")</x:f>
        <x:v>0</x:v>
      </x:c>
      <x:c r="D13" s="31" t="n">
        <x:f>COUNTIFS('Référentiel complet'!$C$5:$C$128,A13,'Référentiel complet'!$K$5:$K$128,"À reprendre")</x:f>
        <x:v>0</x:v>
      </x:c>
    </x:row>
    <x:row r="14">
      <x:c r="A14" s="30" t="str">
        <x:v>Géographie</x:v>
      </x:c>
      <x:c r="B14" s="41" t="n">
        <x:f>COUNTIF('Référentiel complet'!$C$5:$C$128,A14)</x:f>
        <x:v>6</x:v>
      </x:c>
      <x:c r="C14" s="41" t="n">
        <x:f>COUNTIFS('Référentiel complet'!$C$5:$C$128,A14,'Référentiel complet'!$K$5:$K$128,"Réalisé")</x:f>
        <x:v>0</x:v>
      </x:c>
      <x:c r="D14" s="31" t="n">
        <x:f>COUNTIFS('Référentiel complet'!$C$5:$C$128,A14,'Référentiel complet'!$K$5:$K$128,"À reprendre")</x:f>
        <x:v>0</x:v>
      </x:c>
    </x:row>
    <x:row r="15">
      <x:c r="A15" s="30" t="str">
        <x:v>Sciences et technologie</x:v>
      </x:c>
      <x:c r="B15" s="41" t="n">
        <x:f>COUNTIF('Référentiel complet'!$C$5:$C$128,A15)</x:f>
        <x:v>12</x:v>
      </x:c>
      <x:c r="C15" s="41" t="n">
        <x:f>COUNTIFS('Référentiel complet'!$C$5:$C$128,A15,'Référentiel complet'!$K$5:$K$128,"Réalisé")</x:f>
        <x:v>0</x:v>
      </x:c>
      <x:c r="D15" s="31" t="n">
        <x:f>COUNTIFS('Référentiel complet'!$C$5:$C$128,A15,'Référentiel complet'!$K$5:$K$128,"À reprendre")</x:f>
        <x:v>0</x:v>
      </x:c>
    </x:row>
    <x:row r="16">
      <x:c r="A16" s="30" t="str">
        <x:v>EMC</x:v>
      </x:c>
      <x:c r="B16" s="41" t="n">
        <x:f>COUNTIF('Référentiel complet'!$C$5:$C$128,A16)</x:f>
        <x:v>6</x:v>
      </x:c>
      <x:c r="C16" s="41" t="n">
        <x:f>COUNTIFS('Référentiel complet'!$C$5:$C$128,A16,'Référentiel complet'!$K$5:$K$128,"Réalisé")</x:f>
        <x:v>0</x:v>
      </x:c>
      <x:c r="D16" s="31" t="n">
        <x:f>COUNTIFS('Référentiel complet'!$C$5:$C$128,A16,'Référentiel complet'!$K$5:$K$128,"À reprendre")</x:f>
        <x:v>0</x:v>
      </x:c>
    </x:row>
    <x:row r="17">
      <x:c r="A17" s="30" t="str">
        <x:v>Anglais</x:v>
      </x:c>
      <x:c r="B17" s="41" t="n">
        <x:f>COUNTIF('Référentiel complet'!$C$5:$C$128,A17)</x:f>
        <x:v>8</x:v>
      </x:c>
      <x:c r="C17" s="41" t="n">
        <x:f>COUNTIFS('Référentiel complet'!$C$5:$C$128,A17,'Référentiel complet'!$K$5:$K$128,"Réalisé")</x:f>
        <x:v>0</x:v>
      </x:c>
      <x:c r="D17" s="31" t="n">
        <x:f>COUNTIFS('Référentiel complet'!$C$5:$C$128,A17,'Référentiel complet'!$K$5:$K$128,"À reprendre")</x:f>
        <x:v>0</x:v>
      </x:c>
    </x:row>
    <x:row r="18">
      <x:c r="A18" s="30" t="str">
        <x:v>EPS</x:v>
      </x:c>
      <x:c r="B18" s="41" t="n">
        <x:f>COUNTIF('Référentiel complet'!$C$5:$C$128,A18)</x:f>
        <x:v>8</x:v>
      </x:c>
      <x:c r="C18" s="41" t="n">
        <x:f>COUNTIFS('Référentiel complet'!$C$5:$C$128,A18,'Référentiel complet'!$K$5:$K$128,"Réalisé")</x:f>
        <x:v>0</x:v>
      </x:c>
      <x:c r="D18" s="31" t="n">
        <x:f>COUNTIFS('Référentiel complet'!$C$5:$C$128,A18,'Référentiel complet'!$K$5:$K$128,"À reprendre")</x:f>
        <x:v>0</x:v>
      </x:c>
    </x:row>
    <x:row r="19">
      <x:c r="A19" s="32" t="str">
        <x:v>Enseignements artistiques</x:v>
      </x:c>
      <x:c r="B19" s="42" t="n">
        <x:f>COUNTIF('Référentiel complet'!$C$5:$C$128,A19)</x:f>
        <x:v>8</x:v>
      </x:c>
      <x:c r="C19" s="42" t="n">
        <x:f>COUNTIFS('Référentiel complet'!$C$5:$C$128,A19,'Référentiel complet'!$K$5:$K$128,"Réalisé")</x:f>
        <x:v>0</x:v>
      </x:c>
      <x:c r="D19" s="33" t="n">
        <x:f>COUNTIFS('Référentiel complet'!$C$5:$C$128,A19,'Référentiel complet'!$K$5:$K$128,"À reprendre")</x:f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42" hidden="0" customWidth="1"/>
    <x:col min="3" max="3" width="42" hidden="0" customWidth="1"/>
    <x:col min="4" max="4" width="42" hidden="0" customWidth="1"/>
    <x:col min="5" max="5" width="42" hidden="0" customWidth="1"/>
    <x:col min="6" max="6" width="42" hidden="0" customWidth="1"/>
  </x:cols>
  <x:sheetData>
    <x:row r="1" ht="30" customHeight="1">
      <x:c r="A1" s="4" t="str">
        <x:v>Programmation annuelle CM1</x:v>
      </x:c>
      <x:c r="B1" s="4"/>
      <x:c r="C1" s="4"/>
      <x:c r="D1" s="4"/>
      <x:c r="E1" s="4"/>
      <x:c r="F1" s="4"/>
    </x:row>
    <x:row r="2" ht="28" customHeight="1">
      <x:c r="A2" s="8" t="str">
        <x:v>Répartition synthétique par période ; à ajuster selon le calendrier réel</x:v>
      </x:c>
      <x:c r="B2" s="8"/>
      <x:c r="C2" s="8"/>
      <x:c r="D2" s="8"/>
      <x:c r="E2" s="8"/>
      <x:c r="F2" s="8"/>
    </x:row>
    <x:row r="4">
      <x:c r="A4" s="14" t="str">
        <x:v>Matière</x:v>
      </x:c>
      <x:c r="B4" s="14" t="str">
        <x:v>P1</x:v>
      </x:c>
      <x:c r="C4" s="14" t="str">
        <x:v>P2</x:v>
      </x:c>
      <x:c r="D4" s="14" t="str">
        <x:v>P3</x:v>
      </x:c>
      <x:c r="E4" s="14" t="str">
        <x:v>P4</x:v>
      </x:c>
      <x:c r="F4" s="14" t="str">
        <x:v>P5</x:v>
      </x:c>
    </x:row>
    <x:row r="5" ht="68" customHeight="1">
      <x:c r="A5" s="28" t="str">
        <x:v>Français</x:v>
      </x:c>
      <x:c r="B5" s="40" t="str">
        <x:v>Légende, créatures fantastiques et chevaliers ; installation des routines de lecture, écriture et langue.</x:v>
      </x:c>
      <x:c r="C5" s="40" t="str">
        <x:v>Documentaire : énergie et Louis XIV ; lecture de documents et fiche documentaire.</x:v>
      </x:c>
      <x:c r="D5" s="40" t="str">
        <x:v>Poésie : enfants du monde et eau ; vocabulaire en contexte, imparfait et accords.</x:v>
      </x:c>
      <x:c r="E5" s="40" t="str">
        <x:v>Roman : justice et héros ; cohérence du récit, futur et analyse de la phrase.</x:v>
      </x:c>
      <x:c r="F5" s="29" t="str">
        <x:v>BD et théâtre ; synthèse des compétences, passé composé et projets dialogués.</x:v>
      </x:c>
    </x:row>
    <x:row r="6" ht="68" customHeight="1">
      <x:c r="A6" s="30" t="str">
        <x:v>Mathématiques</x:v>
      </x:c>
      <x:c r="B6" s="41" t="str">
        <x:v>Entiers, fractions, calcul mental, problèmes, aires et perpendicularité.</x:v>
      </x:c>
      <x:c r="C6" s="41" t="str">
        <x:v>Fractions décimales, premiers décimaux, opérations, parallélisme.</x:v>
      </x:c>
      <x:c r="D6" s="41" t="str">
        <x:v>Décimaux, division, proportionnalité, algèbre et longueurs.</x:v>
      </x:c>
      <x:c r="E6" s="41" t="str">
        <x:v>Multiplication, proportionnalité, périmètres, aires, figures et probabilités.</x:v>
      </x:c>
      <x:c r="F6" s="31" t="str">
        <x:v>Problèmes complexes, mesures, géométrie, données et pensée informatique.</x:v>
      </x:c>
    </x:row>
    <x:row r="7" ht="68" customHeight="1">
      <x:c r="A7" s="30" t="str">
        <x:v>Histoire</x:v>
      </x:c>
      <x:c r="B7" s="41" t="str">
        <x:v>Vie quotidienne au Moyen Âge.</x:v>
      </x:c>
      <x:c r="C7" s="41" t="str">
        <x:v>Fin du Moyen Âge et début de la monarchie moderne.</x:v>
      </x:c>
      <x:c r="D7" s="41" t="str">
        <x:v>Monarchie en France aux XVIe-XVIIe siècles.</x:v>
      </x:c>
      <x:c r="E7" s="41" t="str">
        <x:v>Explorations et conquêtes européennes.</x:v>
      </x:c>
      <x:c r="F7" s="31" t="str">
        <x:v>1789, une année révolutionnaire.</x:v>
      </x:c>
    </x:row>
    <x:row r="8" ht="68" customHeight="1">
      <x:c r="A8" s="30" t="str">
        <x:v>Géographie</x:v>
      </x:c>
      <x:c r="B8" s="41" t="str">
        <x:v>Se nourrir : produire et consommer.</x:v>
      </x:c>
      <x:c r="C8" s="41" t="str">
        <x:v>Se nourrir dans le monde.</x:v>
      </x:c>
      <x:c r="D8" s="41" t="str">
        <x:v>Inégalités dans le monde.</x:v>
      </x:c>
      <x:c r="E8" s="41" t="str">
        <x:v>Se déplacer.</x:v>
      </x:c>
      <x:c r="F8" s="31" t="str">
        <x:v>Communiquer dans le monde avec Internet.</x:v>
      </x:c>
    </x:row>
    <x:row r="9" ht="68" customHeight="1">
      <x:c r="A9" s="30" t="str">
        <x:v>Sciences et technologie</x:v>
      </x:c>
      <x:c r="B9" s="41" t="str">
        <x:v>États de la matière et mélanges.</x:v>
      </x:c>
      <x:c r="C9" s="41" t="str">
        <x:v>Mouvements et signaux.</x:v>
      </x:c>
      <x:c r="D9" s="41" t="str">
        <x:v>Unité, diversité, croissance et reproduction du vivant.</x:v>
      </x:c>
      <x:c r="E9" s="41" t="str">
        <x:v>Objets techniques, énergie, conception et réalisation.</x:v>
      </x:c>
      <x:c r="F9" s="31" t="str">
        <x:v>Interactions dans l’environnement et action responsable.</x:v>
      </x:c>
    </x:row>
    <x:row r="10" ht="68" customHeight="1">
      <x:c r="A10" s="30" t="str">
        <x:v>EMC</x:v>
      </x:c>
      <x:c r="B10" s="41" t="str">
        <x:v>Règles, responsabilités et intérêt général.</x:v>
      </x:c>
      <x:c r="C10" s="41" t="str">
        <x:v>Civisme, citoyenneté et égale dignité.</x:v>
      </x:c>
      <x:c r="D10" s="41" t="str">
        <x:v>Égalité, discriminations et débat argumenté.</x:v>
      </x:c>
      <x:c r="E10" s="41" t="str">
        <x:v>Fraternité, solidarité et projet collectif.</x:v>
      </x:c>
      <x:c r="F10" s="31" t="str">
        <x:v>Citoyenneté numérique et bilan d’engagement.</x:v>
      </x:c>
    </x:row>
    <x:row r="11" ht="68" customHeight="1">
      <x:c r="A11" s="30" t="str">
        <x:v>Anglais</x:v>
      </x:c>
      <x:c r="B11" s="41" t="str">
        <x:v>Saluer, se présenter, langage de classe et premiers repères culturels.</x:v>
      </x:c>
      <x:c r="C11" s="41" t="str">
        <x:v>Parler de soi, de sa famille et de son environnement.</x:v>
      </x:c>
      <x:c r="D11" s="41" t="str">
        <x:v>Décrire, raconter et comprendre une histoire simple.</x:v>
      </x:c>
      <x:c r="E11" s="41" t="str">
        <x:v>Comprendre, agir, coopérer et écrire un message simple.</x:v>
      </x:c>
      <x:c r="F11" s="31" t="str">
        <x:v>Mobiliser le niveau A1 et présenter un projet.</x:v>
      </x:c>
    </x:row>
    <x:row r="12" ht="68" customHeight="1">
      <x:c r="A12" s="30" t="str">
        <x:v>EPS</x:v>
      </x:c>
      <x:c r="B12" s="41" t="str">
        <x:v>Course, saut et lancer.</x:v>
      </x:c>
      <x:c r="C12" s="41" t="str">
        <x:v>Jeux collectifs : coopérer et s’opposer.</x:v>
      </x:c>
      <x:c r="D12" s="41" t="str">
        <x:v>Équilibres et déplacements en environnement inhabituel.</x:v>
      </x:c>
      <x:c r="E12" s="41" t="str">
        <x:v>Expression corporelle et composition.</x:v>
      </x:c>
      <x:c r="F12" s="31" t="str">
        <x:v>Orientation ou milieu aquatique selon les possibilités.</x:v>
      </x:c>
    </x:row>
    <x:row r="13" ht="68" customHeight="1">
      <x:c r="A13" s="32" t="str">
        <x:v>Enseignements artistiques</x:v>
      </x:c>
      <x:c r="B13" s="42" t="str">
        <x:v>Représenter, chanter et construire un premier carnet culturel.</x:v>
      </x:c>
      <x:c r="C13" s="42" t="str">
        <x:v>Fabriquer, transformer, interpréter et comparer des œuvres.</x:v>
      </x:c>
      <x:c r="D13" s="42" t="str">
        <x:v>Matière, son, espace et création.</x:v>
      </x:c>
      <x:c r="E13" s="42" t="str">
        <x:v>Projet artistique collectif et rencontre d’œuvres.</x:v>
      </x:c>
      <x:c r="F13" s="33" t="str">
        <x:v>Exposer, restituer et présenter son parcours.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" hidden="0" customWidth="1"/>
    <x:col min="3" max="3" width="23" hidden="0" customWidth="1"/>
    <x:col min="4" max="4" width="28" hidden="0" customWidth="1"/>
    <x:col min="5" max="5" width="14" hidden="0" customWidth="1"/>
    <x:col min="6" max="6" width="14" hidden="0" customWidth="1"/>
    <x:col min="7" max="7" width="48" hidden="0" customWidth="1"/>
    <x:col min="8" max="8" width="48" hidden="0" customWidth="1"/>
    <x:col min="9" max="9" width="48" hidden="0" customWidth="1"/>
    <x:col min="10" max="10" width="48" hidden="0" customWidth="1"/>
    <x:col min="11" max="11" width="15" hidden="0" customWidth="1"/>
    <x:col min="12" max="12" width="28" hidden="0" customWidth="1"/>
  </x:cols>
  <x:sheetData>
    <x:row r="1" ht="30" customHeight="1">
      <x:c r="A1" s="4" t="str">
        <x:v>Référentiel compétences → objectifs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8" customHeight="1">
      <x:c r="A2" s="8" t="str">
        <x:v>Source de vérité pour cahier journal, programmation, progression et fiches de préparation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</x:row>
    <x:row r="4">
      <x:c r="A4" s="14" t="str">
        <x:v>ID</x:v>
      </x:c>
      <x:c r="B4" s="14" t="str">
        <x:v>Niveau</x:v>
      </x:c>
      <x:c r="C4" s="14" t="str">
        <x:v>Matière</x:v>
      </x:c>
      <x:c r="D4" s="14" t="str">
        <x:v>Domaine</x:v>
      </x:c>
      <x:c r="E4" s="14" t="str">
        <x:v>Introduction</x:v>
      </x:c>
      <x:c r="F4" s="14" t="str">
        <x:v>Réactivation</x:v>
      </x:c>
      <x:c r="G4" s="14" t="str">
        <x:v>Compétence BO</x:v>
      </x:c>
      <x:c r="H4" s="14" t="str">
        <x:v>Objectif pédagogique</x:v>
      </x:c>
      <x:c r="I4" s="14" t="str">
        <x:v>Critère de réussite</x:v>
      </x:c>
      <x:c r="J4" s="14" t="str">
        <x:v>Support / méthode</x:v>
      </x:c>
      <x:c r="K4" s="14" t="str">
        <x:v>Statut</x:v>
      </x:c>
      <x:c r="L4" s="14" t="str">
        <x:v>Notes</x:v>
      </x:c>
    </x:row>
    <x:row r="5" ht="72" customHeight="1">
      <x:c r="A5" s="28" t="str">
        <x:v>CM1-FRA-LEC-01</x:v>
      </x:c>
      <x:c r="B5" s="40" t="str">
        <x:v>CM1</x:v>
      </x:c>
      <x:c r="C5" s="40" t="str">
        <x:v>Français</x:v>
      </x:c>
      <x:c r="D5" s="40" t="str">
        <x:v>Lecture</x:v>
      </x:c>
      <x:c r="E5" s="40" t="str">
        <x:v>P1</x:v>
      </x:c>
      <x:c r="F5" s="40" t="str">
        <x:v>P1-P5</x:v>
      </x:c>
      <x:c r="G5" s="40" t="str">
        <x:v>Lire avec fluidité</x:v>
      </x:c>
      <x:c r="H5" s="40" t="str">
        <x:v>L'élève sera capable de lire silencieusement ou à voix haute un texte d’une page sans effort excessif</x:v>
      </x:c>
      <x:c r="I5" s="40" t="str">
        <x:v>Lecture exacte, rythme régulier et respect des groupes de sens</x:v>
      </x:c>
      <x:c r="J5" s="40" t="str">
        <x:v>Mot de passe : lectures de chaque thème</x:v>
      </x:c>
      <x:c r="K5" s="40" t="str">
        <x:v>À programmer</x:v>
      </x:c>
      <x:c r="L5" s="29" t="str"/>
    </x:row>
    <x:row r="6" ht="72" customHeight="1">
      <x:c r="A6" s="30" t="str">
        <x:v>CM1-FRA-LEC-02</x:v>
      </x:c>
      <x:c r="B6" s="41" t="str">
        <x:v>CM1</x:v>
      </x:c>
      <x:c r="C6" s="41" t="str">
        <x:v>Français</x:v>
      </x:c>
      <x:c r="D6" s="41" t="str">
        <x:v>Lecture</x:v>
      </x:c>
      <x:c r="E6" s="41" t="str">
        <x:v>P1</x:v>
      </x:c>
      <x:c r="F6" s="41" t="str">
        <x:v>P1-P5</x:v>
      </x:c>
      <x:c r="G6" s="41" t="str">
        <x:v>Lire à voix haute avec expressivité</x:v>
      </x:c>
      <x:c r="H6" s="41" t="str">
        <x:v>L'élève sera capable de préparer puis oraliser un texte court en respectant ponctuation et intention</x:v>
      </x:c>
      <x:c r="I6" s="41" t="str">
        <x:v>Voix audible, ponctuation marquée et intonation adaptée</x:v>
      </x:c>
      <x:c r="J6" s="41" t="str">
        <x:v>Mot de passe : J’améliore ma lecture</x:v>
      </x:c>
      <x:c r="K6" s="41" t="str">
        <x:v>À programmer</x:v>
      </x:c>
      <x:c r="L6" s="31" t="str"/>
    </x:row>
    <x:row r="7" ht="72" customHeight="1">
      <x:c r="A7" s="30" t="str">
        <x:v>CM1-FRA-LEC-03</x:v>
      </x:c>
      <x:c r="B7" s="41" t="str">
        <x:v>CM1</x:v>
      </x:c>
      <x:c r="C7" s="41" t="str">
        <x:v>Français</x:v>
      </x:c>
      <x:c r="D7" s="41" t="str">
        <x:v>Compréhension</x:v>
      </x:c>
      <x:c r="E7" s="41" t="str">
        <x:v>P1</x:v>
      </x:c>
      <x:c r="F7" s="41" t="str">
        <x:v>P1-P5</x:v>
      </x:c>
      <x:c r="G7" s="41" t="str">
        <x:v>Comprendre un texte narratif</x:v>
      </x:c>
      <x:c r="H7" s="41" t="str">
        <x:v>L'élève sera capable de identifier personnages, relations, actions et chronologie</x:v>
      </x:c>
      <x:c r="I7" s="41" t="str">
        <x:v>Réponses justifiées par au moins un indice du texte</x:v>
      </x:c>
      <x:c r="J7" s="41" t="str">
        <x:v>Mot de passe thèmes 1-2, p. 12-49</x:v>
      </x:c>
      <x:c r="K7" s="41" t="str">
        <x:v>À programmer</x:v>
      </x:c>
      <x:c r="L7" s="31" t="str"/>
    </x:row>
    <x:row r="8" ht="72" customHeight="1">
      <x:c r="A8" s="30" t="str">
        <x:v>CM1-FRA-LEC-04</x:v>
      </x:c>
      <x:c r="B8" s="41" t="str">
        <x:v>CM1</x:v>
      </x:c>
      <x:c r="C8" s="41" t="str">
        <x:v>Français</x:v>
      </x:c>
      <x:c r="D8" s="41" t="str">
        <x:v>Compréhension</x:v>
      </x:c>
      <x:c r="E8" s="41" t="str">
        <x:v>P2</x:v>
      </x:c>
      <x:c r="F8" s="41" t="str">
        <x:v>P2-P5</x:v>
      </x:c>
      <x:c r="G8" s="41" t="str">
        <x:v>Lire des textes et documents pour apprendre</x:v>
      </x:c>
      <x:c r="H8" s="41" t="str">
        <x:v>L'élève sera capable de prélever, classer et relier des informations dans un texte documentaire</x:v>
      </x:c>
      <x:c r="I8" s="41" t="str">
        <x:v>Informations pertinentes reportées dans un tableau ou une trace organisée</x:v>
      </x:c>
      <x:c r="J8" s="41" t="str">
        <x:v>Mot de passe thèmes 3-4, p. 50-87</x:v>
      </x:c>
      <x:c r="K8" s="41" t="str">
        <x:v>À programmer</x:v>
      </x:c>
      <x:c r="L8" s="31" t="str"/>
    </x:row>
    <x:row r="9" ht="72" customHeight="1">
      <x:c r="A9" s="30" t="str">
        <x:v>CM1-FRA-LEC-05</x:v>
      </x:c>
      <x:c r="B9" s="41" t="str">
        <x:v>CM1</x:v>
      </x:c>
      <x:c r="C9" s="41" t="str">
        <x:v>Français</x:v>
      </x:c>
      <x:c r="D9" s="41" t="str">
        <x:v>Compréhension</x:v>
      </x:c>
      <x:c r="E9" s="41" t="str">
        <x:v>P2</x:v>
      </x:c>
      <x:c r="F9" s="41" t="str">
        <x:v>P2,P5</x:v>
      </x:c>
      <x:c r="G9" s="41" t="str">
        <x:v>Mettre en relation texte et image</x:v>
      </x:c>
      <x:c r="H9" s="41" t="str">
        <x:v>L'élève sera capable de expliquer ce que l’image répète, complète ou modifie dans un document</x:v>
      </x:c>
      <x:c r="I9" s="41" t="str">
        <x:v>Lien texte-image formulé et justifié</x:v>
      </x:c>
      <x:c r="J9" s="41" t="str">
        <x:v>Mot de passe p. 58 puis p. 188</x:v>
      </x:c>
      <x:c r="K9" s="41" t="str">
        <x:v>À programmer</x:v>
      </x:c>
      <x:c r="L9" s="31" t="str"/>
    </x:row>
    <x:row r="10" ht="72" customHeight="1">
      <x:c r="A10" s="30" t="str">
        <x:v>CM1-FRA-LEC-06</x:v>
      </x:c>
      <x:c r="B10" s="41" t="str">
        <x:v>CM1</x:v>
      </x:c>
      <x:c r="C10" s="41" t="str">
        <x:v>Français</x:v>
      </x:c>
      <x:c r="D10" s="41" t="str">
        <x:v>Compréhension</x:v>
      </x:c>
      <x:c r="E10" s="41" t="str">
        <x:v>P3</x:v>
      </x:c>
      <x:c r="F10" s="41" t="str">
        <x:v>P3-P5</x:v>
      </x:c>
      <x:c r="G10" s="41" t="str">
        <x:v>Comprendre un mot inconnu</x:v>
      </x:c>
      <x:c r="H10" s="41" t="str">
        <x:v>L'élève sera capable de déduire le sens d’un mot à partir du contexte et de sa morphologie</x:v>
      </x:c>
      <x:c r="I10" s="41" t="str">
        <x:v>Hypothèse cohérente puis vérifiée dans un outil de référence</x:v>
      </x:c>
      <x:c r="J10" s="41" t="str">
        <x:v>Mot de passe p. 96 et 112</x:v>
      </x:c>
      <x:c r="K10" s="41" t="str">
        <x:v>À programmer</x:v>
      </x:c>
      <x:c r="L10" s="31" t="str"/>
    </x:row>
    <x:row r="11" ht="72" customHeight="1">
      <x:c r="A11" s="30" t="str">
        <x:v>CM1-FRA-LEC-07</x:v>
      </x:c>
      <x:c r="B11" s="41" t="str">
        <x:v>CM1</x:v>
      </x:c>
      <x:c r="C11" s="41" t="str">
        <x:v>Français</x:v>
      </x:c>
      <x:c r="D11" s="41" t="str">
        <x:v>Compréhension</x:v>
      </x:c>
      <x:c r="E11" s="41" t="str">
        <x:v>P4</x:v>
      </x:c>
      <x:c r="F11" s="41" t="str">
        <x:v>P4-P5</x:v>
      </x:c>
      <x:c r="G11" s="41" t="str">
        <x:v>Comprendre la cohérence d’un récit</x:v>
      </x:c>
      <x:c r="H11" s="41" t="str">
        <x:v>L'élève sera capable de repérer les liens chronologiques et logiques entre plusieurs informations</x:v>
      </x:c>
      <x:c r="I11" s="41" t="str">
        <x:v>Connecteurs repérés et enchaînement reformulé correctement</x:v>
      </x:c>
      <x:c r="J11" s="41" t="str">
        <x:v>Mot de passe p. 134 et 150</x:v>
      </x:c>
      <x:c r="K11" s="41" t="str">
        <x:v>À programmer</x:v>
      </x:c>
      <x:c r="L11" s="31" t="str"/>
    </x:row>
    <x:row r="12" ht="72" customHeight="1">
      <x:c r="A12" s="30" t="str">
        <x:v>CM1-FRA-LEC-08</x:v>
      </x:c>
      <x:c r="B12" s="41" t="str">
        <x:v>CM1</x:v>
      </x:c>
      <x:c r="C12" s="41" t="str">
        <x:v>Français</x:v>
      </x:c>
      <x:c r="D12" s="41" t="str">
        <x:v>Culture littéraire</x:v>
      </x:c>
      <x:c r="E12" s="41" t="str">
        <x:v>P1</x:v>
      </x:c>
      <x:c r="F12" s="41" t="str">
        <x:v>P1-P5</x:v>
      </x:c>
      <x:c r="G12" s="41" t="str">
        <x:v>Lire et s’approprier des œuvres</x:v>
      </x:c>
      <x:c r="H12" s="41" t="str">
        <x:v>L'élève sera capable de tenir une trace personnelle de ses lectures et partager une appréciation argumentée</x:v>
      </x:c>
      <x:c r="I12" s="41" t="str">
        <x:v>Trace datée comportant résumé bref et avis justifié</x:v>
      </x:c>
      <x:c r="J12" s="41" t="str">
        <x:v>Parcours Mot de passe + œuvres intégrales</x:v>
      </x:c>
      <x:c r="K12" s="41" t="str">
        <x:v>À programmer</x:v>
      </x:c>
      <x:c r="L12" s="31" t="str"/>
    </x:row>
    <x:row r="13" ht="72" customHeight="1">
      <x:c r="A13" s="30" t="str">
        <x:v>CM1-FRA-ECR-01</x:v>
      </x:c>
      <x:c r="B13" s="41" t="str">
        <x:v>CM1</x:v>
      </x:c>
      <x:c r="C13" s="41" t="str">
        <x:v>Français</x:v>
      </x:c>
      <x:c r="D13" s="41" t="str">
        <x:v>Écriture</x:v>
      </x:c>
      <x:c r="E13" s="41" t="str">
        <x:v>P1</x:v>
      </x:c>
      <x:c r="F13" s="41" t="str">
        <x:v>P1-P5</x:v>
      </x:c>
      <x:c r="G13" s="41" t="str">
        <x:v>Écrire à la main de manière fluide</x:v>
      </x:c>
      <x:c r="H13" s="41" t="str">
        <x:v>L'élève sera capable de copier un texte court lisiblement, sans omission et dans un temps raisonnable</x:v>
      </x:c>
      <x:c r="I13" s="41" t="str">
        <x:v>Copie fidèle, mise en page respectée et moins de deux erreurs</x:v>
      </x:c>
      <x:c r="J13" s="41" t="str">
        <x:v>Rituel de copie</x:v>
      </x:c>
      <x:c r="K13" s="41" t="str">
        <x:v>À programmer</x:v>
      </x:c>
      <x:c r="L13" s="31" t="str"/>
    </x:row>
    <x:row r="14" ht="72" customHeight="1">
      <x:c r="A14" s="30" t="str">
        <x:v>CM1-FRA-ECR-02</x:v>
      </x:c>
      <x:c r="B14" s="41" t="str">
        <x:v>CM1</x:v>
      </x:c>
      <x:c r="C14" s="41" t="str">
        <x:v>Français</x:v>
      </x:c>
      <x:c r="D14" s="41" t="str">
        <x:v>Écriture</x:v>
      </x:c>
      <x:c r="E14" s="41" t="str">
        <x:v>P1</x:v>
      </x:c>
      <x:c r="F14" s="41" t="str">
        <x:v>P1-P5</x:v>
      </x:c>
      <x:c r="G14" s="41" t="str">
        <x:v>Écrire pour réfléchir et mémoriser</x:v>
      </x:c>
      <x:c r="H14" s="41" t="str">
        <x:v>L'élève sera capable de produire un écrit court pour expliquer un choix ou reformuler une leçon</x:v>
      </x:c>
      <x:c r="I14" s="41" t="str">
        <x:v>Idée essentielle formulée en phrases complètes</x:v>
      </x:c>
      <x:c r="J14" s="41" t="str">
        <x:v>Écrits de travail quotidiens</x:v>
      </x:c>
      <x:c r="K14" s="41" t="str">
        <x:v>À programmer</x:v>
      </x:c>
      <x:c r="L14" s="31" t="str"/>
    </x:row>
    <x:row r="15" ht="72" customHeight="1">
      <x:c r="A15" s="30" t="str">
        <x:v>CM1-FRA-ECR-03</x:v>
      </x:c>
      <x:c r="B15" s="41" t="str">
        <x:v>CM1</x:v>
      </x:c>
      <x:c r="C15" s="41" t="str">
        <x:v>Français</x:v>
      </x:c>
      <x:c r="D15" s="41" t="str">
        <x:v>Production d’écrits</x:v>
      </x:c>
      <x:c r="E15" s="41" t="str">
        <x:v>P1</x:v>
      </x:c>
      <x:c r="F15" s="41" t="str">
        <x:v>P1-P2</x:v>
      </x:c>
      <x:c r="G15" s="41" t="str">
        <x:v>Produire des écrits variés</x:v>
      </x:c>
      <x:c r="H15" s="41" t="str">
        <x:v>L'élève sera capable de planifier, rédiger et réviser un épisode de légende</x:v>
      </x:c>
      <x:c r="I15" s="41" t="str">
        <x:v>Texte cohérent avec personnage, action et marqueurs temporels</x:v>
      </x:c>
      <x:c r="J15" s="41" t="str">
        <x:v>Mot de passe p. 46-47</x:v>
      </x:c>
      <x:c r="K15" s="41" t="str">
        <x:v>À programmer</x:v>
      </x:c>
      <x:c r="L15" s="31" t="str"/>
    </x:row>
    <x:row r="16" ht="72" customHeight="1">
      <x:c r="A16" s="30" t="str">
        <x:v>CM1-FRA-ECR-04</x:v>
      </x:c>
      <x:c r="B16" s="41" t="str">
        <x:v>CM1</x:v>
      </x:c>
      <x:c r="C16" s="41" t="str">
        <x:v>Français</x:v>
      </x:c>
      <x:c r="D16" s="41" t="str">
        <x:v>Production d’écrits</x:v>
      </x:c>
      <x:c r="E16" s="41" t="str">
        <x:v>P2</x:v>
      </x:c>
      <x:c r="F16" s="41" t="str">
        <x:v>P2-P3</x:v>
      </x:c>
      <x:c r="G16" s="41" t="str">
        <x:v>Produire un écrit documentaire</x:v>
      </x:c>
      <x:c r="H16" s="41" t="str">
        <x:v>L'élève sera capable de rédiger une fiche documentaire organisée à partir de sources</x:v>
      </x:c>
      <x:c r="I16" s="41" t="str">
        <x:v>Titre, sous-titres, informations exactes et reformulées</x:v>
      </x:c>
      <x:c r="J16" s="41" t="str">
        <x:v>Mot de passe p. 84-85</x:v>
      </x:c>
      <x:c r="K16" s="41" t="str">
        <x:v>À programmer</x:v>
      </x:c>
      <x:c r="L16" s="31" t="str"/>
    </x:row>
    <x:row r="17" ht="72" customHeight="1">
      <x:c r="A17" s="30" t="str">
        <x:v>CM1-FRA-ECR-05</x:v>
      </x:c>
      <x:c r="B17" s="41" t="str">
        <x:v>CM1</x:v>
      </x:c>
      <x:c r="C17" s="41" t="str">
        <x:v>Français</x:v>
      </x:c>
      <x:c r="D17" s="41" t="str">
        <x:v>Production d’écrits</x:v>
      </x:c>
      <x:c r="E17" s="41" t="str">
        <x:v>P3</x:v>
      </x:c>
      <x:c r="F17" s="41" t="str">
        <x:v>P3-P5</x:v>
      </x:c>
      <x:c r="G17" s="41" t="str">
        <x:v>Produire un texte poétique</x:v>
      </x:c>
      <x:c r="H17" s="41" t="str">
        <x:v>L'élève sera capable de écrire un poème en respectant une contrainte choisie</x:v>
      </x:c>
      <x:c r="I17" s="41" t="str">
        <x:v>Contrainte visible et vocabulaire évocateur</x:v>
      </x:c>
      <x:c r="J17" s="41" t="str">
        <x:v>Mot de passe p. 122-123</x:v>
      </x:c>
      <x:c r="K17" s="41" t="str">
        <x:v>À programmer</x:v>
      </x:c>
      <x:c r="L17" s="31" t="str"/>
    </x:row>
    <x:row r="18" ht="72" customHeight="1">
      <x:c r="A18" s="30" t="str">
        <x:v>CM1-FRA-ECR-06</x:v>
      </x:c>
      <x:c r="B18" s="41" t="str">
        <x:v>CM1</x:v>
      </x:c>
      <x:c r="C18" s="41" t="str">
        <x:v>Français</x:v>
      </x:c>
      <x:c r="D18" s="41" t="str">
        <x:v>Production d’écrits</x:v>
      </x:c>
      <x:c r="E18" s="41" t="str">
        <x:v>P4</x:v>
      </x:c>
      <x:c r="F18" s="41" t="str">
        <x:v>P4-P5</x:v>
      </x:c>
      <x:c r="G18" s="41" t="str">
        <x:v>Produire un récit</x:v>
      </x:c>
      <x:c r="H18" s="41" t="str">
        <x:v>L'élève sera capable de écrire le début d’un roman en installant cadre, personnage et problème</x:v>
      </x:c>
      <x:c r="I18" s="41" t="str">
        <x:v>Situation initiale compréhensible et cohérente</x:v>
      </x:c>
      <x:c r="J18" s="41" t="str">
        <x:v>Mot de passe p. 160-161</x:v>
      </x:c>
      <x:c r="K18" s="41" t="str">
        <x:v>À programmer</x:v>
      </x:c>
      <x:c r="L18" s="31" t="str"/>
    </x:row>
    <x:row r="19" ht="72" customHeight="1">
      <x:c r="A19" s="30" t="str">
        <x:v>CM1-FRA-ECR-07</x:v>
      </x:c>
      <x:c r="B19" s="41" t="str">
        <x:v>CM1</x:v>
      </x:c>
      <x:c r="C19" s="41" t="str">
        <x:v>Français</x:v>
      </x:c>
      <x:c r="D19" s="41" t="str">
        <x:v>Production d’écrits</x:v>
      </x:c>
      <x:c r="E19" s="41" t="str">
        <x:v>P5</x:v>
      </x:c>
      <x:c r="F19" s="41" t="str">
        <x:v>P5</x:v>
      </x:c>
      <x:c r="G19" s="41" t="str">
        <x:v>Écrire un dialogue</x:v>
      </x:c>
      <x:c r="H19" s="41" t="str">
        <x:v>L'élève sera capable de produire une planche de BD ou un dialogue théâtral lisible et cohérent</x:v>
      </x:c>
      <x:c r="I19" s="41" t="str">
        <x:v>Paroles attribuées clairement et progression de l’échange</x:v>
      </x:c>
      <x:c r="J19" s="41" t="str">
        <x:v>Mot de passe p. 198-199 ou 220-221</x:v>
      </x:c>
      <x:c r="K19" s="41" t="str">
        <x:v>À programmer</x:v>
      </x:c>
      <x:c r="L19" s="31" t="str"/>
    </x:row>
    <x:row r="20" ht="72" customHeight="1">
      <x:c r="A20" s="30" t="str">
        <x:v>CM1-FRA-ORA-01</x:v>
      </x:c>
      <x:c r="B20" s="41" t="str">
        <x:v>CM1</x:v>
      </x:c>
      <x:c r="C20" s="41" t="str">
        <x:v>Français</x:v>
      </x:c>
      <x:c r="D20" s="41" t="str">
        <x:v>Oral</x:v>
      </x:c>
      <x:c r="E20" s="41" t="str">
        <x:v>P1</x:v>
      </x:c>
      <x:c r="F20" s="41" t="str">
        <x:v>P1-P5</x:v>
      </x:c>
      <x:c r="G20" s="41" t="str">
        <x:v>Écouter pour comprendre</x:v>
      </x:c>
      <x:c r="H20" s="41" t="str">
        <x:v>L'élève sera capable de maintenir une écoute active et reformuler l’essentiel d’un message</x:v>
      </x:c>
      <x:c r="I20" s="41" t="str">
        <x:v>Reformulation fidèle sans ajout majeur</x:v>
      </x:c>
      <x:c r="J20" s="41" t="str">
        <x:v>Débats Mot de passe</x:v>
      </x:c>
      <x:c r="K20" s="41" t="str">
        <x:v>À programmer</x:v>
      </x:c>
      <x:c r="L20" s="31" t="str"/>
    </x:row>
    <x:row r="21" ht="72" customHeight="1">
      <x:c r="A21" s="30" t="str">
        <x:v>CM1-FRA-ORA-02</x:v>
      </x:c>
      <x:c r="B21" s="41" t="str">
        <x:v>CM1</x:v>
      </x:c>
      <x:c r="C21" s="41" t="str">
        <x:v>Français</x:v>
      </x:c>
      <x:c r="D21" s="41" t="str">
        <x:v>Oral</x:v>
      </x:c>
      <x:c r="E21" s="41" t="str">
        <x:v>P1</x:v>
      </x:c>
      <x:c r="F21" s="41" t="str">
        <x:v>P1-P5</x:v>
      </x:c>
      <x:c r="G21" s="41" t="str">
        <x:v>Participer à des échanges verbaux</x:v>
      </x:c>
      <x:c r="H21" s="41" t="str">
        <x:v>L'élève sera capable de prendre la parole à propos en respectant les tours de parole</x:v>
      </x:c>
      <x:c r="I21" s="41" t="str">
        <x:v>Intervention pertinente et règles d’échange respectées</x:v>
      </x:c>
      <x:c r="J21" s="41" t="str">
        <x:v>Questions d’oral Mot de passe</x:v>
      </x:c>
      <x:c r="K21" s="41" t="str">
        <x:v>À programmer</x:v>
      </x:c>
      <x:c r="L21" s="31" t="str"/>
    </x:row>
    <x:row r="22" ht="72" customHeight="1">
      <x:c r="A22" s="30" t="str">
        <x:v>CM1-FRA-ORA-03</x:v>
      </x:c>
      <x:c r="B22" s="41" t="str">
        <x:v>CM1</x:v>
      </x:c>
      <x:c r="C22" s="41" t="str">
        <x:v>Français</x:v>
      </x:c>
      <x:c r="D22" s="41" t="str">
        <x:v>Oral</x:v>
      </x:c>
      <x:c r="E22" s="41" t="str">
        <x:v>P2</x:v>
      </x:c>
      <x:c r="F22" s="41" t="str">
        <x:v>P2-P5</x:v>
      </x:c>
      <x:c r="G22" s="41" t="str">
        <x:v>Dire pour être compris</x:v>
      </x:c>
      <x:c r="H22" s="41" t="str">
        <x:v>L'élève sera capable de présenter un document ou un tableau en s’appuyant sur quelques notes</x:v>
      </x:c>
      <x:c r="I22" s="41" t="str">
        <x:v>Présentation structurée, audible et sans lecture intégrale</x:v>
      </x:c>
      <x:c r="J22" s="41" t="str">
        <x:v>Mot de passe p. 75</x:v>
      </x:c>
      <x:c r="K22" s="41" t="str">
        <x:v>À programmer</x:v>
      </x:c>
      <x:c r="L22" s="31" t="str"/>
    </x:row>
    <x:row r="23" ht="72" customHeight="1">
      <x:c r="A23" s="30" t="str">
        <x:v>CM1-FRA-ORA-04</x:v>
      </x:c>
      <x:c r="B23" s="41" t="str">
        <x:v>CM1</x:v>
      </x:c>
      <x:c r="C23" s="41" t="str">
        <x:v>Français</x:v>
      </x:c>
      <x:c r="D23" s="41" t="str">
        <x:v>Oral</x:v>
      </x:c>
      <x:c r="E23" s="41" t="str">
        <x:v>P5</x:v>
      </x:c>
      <x:c r="F23" s="41" t="str">
        <x:v>P5</x:v>
      </x:c>
      <x:c r="G23" s="41" t="str">
        <x:v>Présenter une lecture ou un travail</x:v>
      </x:c>
      <x:c r="H23" s="41" t="str">
        <x:v>L'élève sera capable de rendre compte d’une lecture ou réaliser un exposé bref</x:v>
      </x:c>
      <x:c r="I23" s="41" t="str">
        <x:v>Introduction, informations organisées et conclusion personnelle</x:v>
      </x:c>
      <x:c r="J23" s="41" t="str">
        <x:v>Mot de passe p. 173, 189, 211</x:v>
      </x:c>
      <x:c r="K23" s="41" t="str">
        <x:v>À programmer</x:v>
      </x:c>
      <x:c r="L23" s="31" t="str"/>
    </x:row>
    <x:row r="24" ht="72" customHeight="1">
      <x:c r="A24" s="30" t="str">
        <x:v>CM1-FRA-VOC-01</x:v>
      </x:c>
      <x:c r="B24" s="41" t="str">
        <x:v>CM1</x:v>
      </x:c>
      <x:c r="C24" s="41" t="str">
        <x:v>Français</x:v>
      </x:c>
      <x:c r="D24" s="41" t="str">
        <x:v>Vocabulaire</x:v>
      </x:c>
      <x:c r="E24" s="41" t="str">
        <x:v>P1</x:v>
      </x:c>
      <x:c r="F24" s="41" t="str">
        <x:v>P1-P5</x:v>
      </x:c>
      <x:c r="G24" s="41" t="str">
        <x:v>Utiliser les outils du vocabulaire</x:v>
      </x:c>
      <x:c r="H24" s="41" t="str">
        <x:v>L'élève sera capable de utiliser un article de dictionnaire pour choisir le sens adapté</x:v>
      </x:c>
      <x:c r="I24" s="41" t="str">
        <x:v>Nature, définition et exemple correctement exploités</x:v>
      </x:c>
      <x:c r="J24" s="41" t="str">
        <x:v>Mot de passe p. 22-23</x:v>
      </x:c>
      <x:c r="K24" s="41" t="str">
        <x:v>À programmer</x:v>
      </x:c>
      <x:c r="L24" s="31" t="str"/>
    </x:row>
    <x:row r="25" ht="72" customHeight="1">
      <x:c r="A25" s="30" t="str">
        <x:v>CM1-FRA-VOC-02</x:v>
      </x:c>
      <x:c r="B25" s="41" t="str">
        <x:v>CM1</x:v>
      </x:c>
      <x:c r="C25" s="41" t="str">
        <x:v>Français</x:v>
      </x:c>
      <x:c r="D25" s="41" t="str">
        <x:v>Vocabulaire</x:v>
      </x:c>
      <x:c r="E25" s="41" t="str">
        <x:v>P1</x:v>
      </x:c>
      <x:c r="F25" s="41" t="str">
        <x:v>P1-P5</x:v>
      </x:c>
      <x:c r="G25" s="41" t="str">
        <x:v>Établir des relations entre les mots</x:v>
      </x:c>
      <x:c r="H25" s="41" t="str">
        <x:v>L'élève sera capable de former et reconnaître familles de mots, préfixes et suffixes</x:v>
      </x:c>
      <x:c r="I25" s="41" t="str">
        <x:v>Mots classés et radical ou affixe identifié</x:v>
      </x:c>
      <x:c r="J25" s="41" t="str">
        <x:v>Mot de passe p. 60-61, 174-175, 190-191</x:v>
      </x:c>
      <x:c r="K25" s="41" t="str">
        <x:v>À programmer</x:v>
      </x:c>
      <x:c r="L25" s="31" t="str"/>
    </x:row>
    <x:row r="26" ht="72" customHeight="1">
      <x:c r="A26" s="30" t="str">
        <x:v>CM1-FRA-VOC-03</x:v>
      </x:c>
      <x:c r="B26" s="41" t="str">
        <x:v>CM1</x:v>
      </x:c>
      <x:c r="C26" s="41" t="str">
        <x:v>Français</x:v>
      </x:c>
      <x:c r="D26" s="41" t="str">
        <x:v>Vocabulaire</x:v>
      </x:c>
      <x:c r="E26" s="41" t="str">
        <x:v>P2</x:v>
      </x:c>
      <x:c r="F26" s="41" t="str">
        <x:v>P2-P5</x:v>
      </x:c>
      <x:c r="G26" s="41" t="str">
        <x:v>Enrichir et réemployer le vocabulaire</x:v>
      </x:c>
      <x:c r="H26" s="41" t="str">
        <x:v>L'élève sera capable de utiliser synonymes, mots génériques et champs lexicaux pour préciser un écrit</x:v>
      </x:c>
      <x:c r="I26" s="41" t="str">
        <x:v>Au moins trois mots nouveaux réemployés à bon escient</x:v>
      </x:c>
      <x:c r="J26" s="41" t="str">
        <x:v>Mot de passe p. 76-77, 98-99, 114-115</x:v>
      </x:c>
      <x:c r="K26" s="41" t="str">
        <x:v>À programmer</x:v>
      </x:c>
      <x:c r="L26" s="31" t="str"/>
    </x:row>
    <x:row r="27" ht="72" customHeight="1">
      <x:c r="A27" s="30" t="str">
        <x:v>CM1-FRA-GRA-01</x:v>
      </x:c>
      <x:c r="B27" s="41" t="str">
        <x:v>CM1</x:v>
      </x:c>
      <x:c r="C27" s="41" t="str">
        <x:v>Français</x:v>
      </x:c>
      <x:c r="D27" s="41" t="str">
        <x:v>Grammaire</x:v>
      </x:c>
      <x:c r="E27" s="41" t="str">
        <x:v>P1</x:v>
      </x:c>
      <x:c r="F27" s="41" t="str">
        <x:v>P1-P5</x:v>
      </x:c>
      <x:c r="G27" s="41" t="str">
        <x:v>Connaître types et formes de phrases</x:v>
      </x:c>
      <x:c r="H27" s="41" t="str">
        <x:v>L'élève sera capable de identifier et transformer types déclaratif, interrogatif, impératif et formes négative, exclamative</x:v>
      </x:c>
      <x:c r="I27" s="41" t="str">
        <x:v>Type ou forme nommé et transformation grammaticalement correcte</x:v>
      </x:c>
      <x:c r="J27" s="41" t="str">
        <x:v>Complément BO à Mot de passe</x:v>
      </x:c>
      <x:c r="K27" s="41" t="str">
        <x:v>À programmer</x:v>
      </x:c>
      <x:c r="L27" s="31" t="str"/>
    </x:row>
    <x:row r="28" ht="72" customHeight="1">
      <x:c r="A28" s="30" t="str">
        <x:v>CM1-FRA-GRA-02</x:v>
      </x:c>
      <x:c r="B28" s="41" t="str">
        <x:v>CM1</x:v>
      </x:c>
      <x:c r="C28" s="41" t="str">
        <x:v>Français</x:v>
      </x:c>
      <x:c r="D28" s="41" t="str">
        <x:v>Grammaire</x:v>
      </x:c>
      <x:c r="E28" s="41" t="str">
        <x:v>P1</x:v>
      </x:c>
      <x:c r="F28" s="41" t="str">
        <x:v>P1-P5</x:v>
      </x:c>
      <x:c r="G28" s="41" t="str">
        <x:v>Identifier les classes de mots</x:v>
      </x:c>
      <x:c r="H28" s="41" t="str">
        <x:v>L'élève sera capable de distinguer déterminant, nom, adjectif, pronom personnel et verbe</x:v>
      </x:c>
      <x:c r="I28" s="41" t="str">
        <x:v>Au moins 8 mots sur 10 correctement classés</x:v>
      </x:c>
      <x:c r="J28" s="41" t="str">
        <x:v>Mot de passe p. 24-27, 42-43, 118-119</x:v>
      </x:c>
      <x:c r="K28" s="41" t="str">
        <x:v>À programmer</x:v>
      </x:c>
      <x:c r="L28" s="31" t="str"/>
    </x:row>
    <x:row r="29" ht="72" customHeight="1">
      <x:c r="A29" s="30" t="str">
        <x:v>CM1-FRA-GRA-03</x:v>
      </x:c>
      <x:c r="B29" s="41" t="str">
        <x:v>CM1</x:v>
      </x:c>
      <x:c r="C29" s="41" t="str">
        <x:v>Français</x:v>
      </x:c>
      <x:c r="D29" s="41" t="str">
        <x:v>Grammaire</x:v>
      </x:c>
      <x:c r="E29" s="41" t="str">
        <x:v>P1</x:v>
      </x:c>
      <x:c r="F29" s="41" t="str">
        <x:v>P1-P5</x:v>
      </x:c>
      <x:c r="G29" s="41" t="str">
        <x:v>Analyser le groupe nominal</x:v>
      </x:c>
      <x:c r="H29" s="41" t="str">
        <x:v>L'élève sera capable de repérer le nom noyau et les constituants d’un groupe nominal</x:v>
      </x:c>
      <x:c r="I29" s="41" t="str">
        <x:v>Déterminant, nom noyau et adjectif correctement repérés</x:v>
      </x:c>
      <x:c r="J29" s="41" t="str">
        <x:v>Mot de passe p. 26-27, 42-43</x:v>
      </x:c>
      <x:c r="K29" s="41" t="str">
        <x:v>À programmer</x:v>
      </x:c>
      <x:c r="L29" s="31" t="str"/>
    </x:row>
    <x:row r="30" ht="72" customHeight="1">
      <x:c r="A30" s="30" t="str">
        <x:v>CM1-FRA-GRA-04</x:v>
      </x:c>
      <x:c r="B30" s="41" t="str">
        <x:v>CM1</x:v>
      </x:c>
      <x:c r="C30" s="41" t="str">
        <x:v>Français</x:v>
      </x:c>
      <x:c r="D30" s="41" t="str">
        <x:v>Grammaire</x:v>
      </x:c>
      <x:c r="E30" s="41" t="str">
        <x:v>P2</x:v>
      </x:c>
      <x:c r="F30" s="41" t="str">
        <x:v>P2-P5</x:v>
      </x:c>
      <x:c r="G30" s="41" t="str">
        <x:v>Analyser une phrase simple</x:v>
      </x:c>
      <x:c r="H30" s="41" t="str">
        <x:v>L'élève sera capable de identifier groupe sujet, verbe conjugué, complément d’objet et groupe circonstanciel</x:v>
      </x:c>
      <x:c r="I30" s="41" t="str">
        <x:v>Fonctions correctement délimitées par manipulations syntaxiques</x:v>
      </x:c>
      <x:c r="J30" s="41" t="str">
        <x:v>Adaptation Mot de passe p. 64-65</x:v>
      </x:c>
      <x:c r="K30" s="41" t="str">
        <x:v>À programmer</x:v>
      </x:c>
      <x:c r="L30" s="31" t="str"/>
    </x:row>
    <x:row r="31" ht="72" customHeight="1">
      <x:c r="A31" s="30" t="str">
        <x:v>CM1-FRA-GRA-05</x:v>
      </x:c>
      <x:c r="B31" s="41" t="str">
        <x:v>CM1</x:v>
      </x:c>
      <x:c r="C31" s="41" t="str">
        <x:v>Français</x:v>
      </x:c>
      <x:c r="D31" s="41" t="str">
        <x:v>Grammaire</x:v>
      </x:c>
      <x:c r="E31" s="41" t="str">
        <x:v>P4</x:v>
      </x:c>
      <x:c r="F31" s="41" t="str">
        <x:v>P4-P5</x:v>
      </x:c>
      <x:c r="G31" s="41" t="str">
        <x:v>Distinguer COD et COI</x:v>
      </x:c>
      <x:c r="H31" s="41" t="str">
        <x:v>L'élève sera capable de identifier COD et COI dans des phrases prototypiques</x:v>
      </x:c>
      <x:c r="I31" s="41" t="str">
        <x:v>Question, déplacement ou pronominalisation utilisés pour justifier</x:v>
      </x:c>
      <x:c r="J31" s="41" t="str">
        <x:v>Adaptation Mot de passe p. 194-195</x:v>
      </x:c>
      <x:c r="K31" s="41" t="str">
        <x:v>À programmer</x:v>
      </x:c>
      <x:c r="L31" s="31" t="str"/>
    </x:row>
    <x:row r="32" ht="72" customHeight="1">
      <x:c r="A32" s="30" t="str">
        <x:v>CM1-FRA-GRA-06</x:v>
      </x:c>
      <x:c r="B32" s="41" t="str">
        <x:v>CM1</x:v>
      </x:c>
      <x:c r="C32" s="41" t="str">
        <x:v>Français</x:v>
      </x:c>
      <x:c r="D32" s="41" t="str">
        <x:v>Grammaire</x:v>
      </x:c>
      <x:c r="E32" s="41" t="str">
        <x:v>P3</x:v>
      </x:c>
      <x:c r="F32" s="41" t="str">
        <x:v>P3-P5</x:v>
      </x:c>
      <x:c r="G32" s="41" t="str">
        <x:v>Identifier pronoms, adverbes et conjonctions</x:v>
      </x:c>
      <x:c r="H32" s="41" t="str">
        <x:v>L'élève sera capable de distinguer pronoms personnels sujets/compléments, adverbes fréquents et conjonctions de coordination</x:v>
      </x:c>
      <x:c r="I32" s="41" t="str">
        <x:v>Classe grammaticale justifiée dans 8 cas sur 10</x:v>
      </x:c>
      <x:c r="J32" s="41" t="str">
        <x:v>Complément BO</x:v>
      </x:c>
      <x:c r="K32" s="41" t="str">
        <x:v>À programmer</x:v>
      </x:c>
      <x:c r="L32" s="31" t="str"/>
    </x:row>
    <x:row r="33" ht="72" customHeight="1">
      <x:c r="A33" s="30" t="str">
        <x:v>CM1-FRA-ORT-01</x:v>
      </x:c>
      <x:c r="B33" s="41" t="str">
        <x:v>CM1</x:v>
      </x:c>
      <x:c r="C33" s="41" t="str">
        <x:v>Français</x:v>
      </x:c>
      <x:c r="D33" s="41" t="str">
        <x:v>Orthographe grammaticale</x:v>
      </x:c>
      <x:c r="E33" s="41" t="str">
        <x:v>P1</x:v>
      </x:c>
      <x:c r="F33" s="41" t="str">
        <x:v>P1-P5</x:v>
      </x:c>
      <x:c r="G33" s="41" t="str">
        <x:v>Réaliser les accords dans le groupe nominal</x:v>
      </x:c>
      <x:c r="H33" s="41" t="str">
        <x:v>L'élève sera capable de accorder déterminant, nom et adjectif en genre et en nombre</x:v>
      </x:c>
      <x:c r="I33" s="41" t="str">
        <x:v>Toutes les marques d’accord visibles dans 4 GN sur 5</x:v>
      </x:c>
      <x:c r="J33" s="41" t="str">
        <x:v>Mot de passe p. 24-25, 40-41, 78-79</x:v>
      </x:c>
      <x:c r="K33" s="41" t="str">
        <x:v>À programmer</x:v>
      </x:c>
      <x:c r="L33" s="31" t="str"/>
    </x:row>
    <x:row r="34" ht="72" customHeight="1">
      <x:c r="A34" s="30" t="str">
        <x:v>CM1-FRA-ORT-02</x:v>
      </x:c>
      <x:c r="B34" s="41" t="str">
        <x:v>CM1</x:v>
      </x:c>
      <x:c r="C34" s="41" t="str">
        <x:v>Français</x:v>
      </x:c>
      <x:c r="D34" s="41" t="str">
        <x:v>Orthographe grammaticale</x:v>
      </x:c>
      <x:c r="E34" s="41" t="str">
        <x:v>P2</x:v>
      </x:c>
      <x:c r="F34" s="41" t="str">
        <x:v>P2-P5</x:v>
      </x:c>
      <x:c r="G34" s="41" t="str">
        <x:v>Accorder le sujet et le verbe</x:v>
      </x:c>
      <x:c r="H34" s="41" t="str">
        <x:v>L'élève sera capable de identifier le donneur d’accord et choisir la terminaison verbale</x:v>
      </x:c>
      <x:c r="I34" s="41" t="str">
        <x:v>Accord correct dans 8 phrases sur 10</x:v>
      </x:c>
      <x:c r="J34" s="41" t="str">
        <x:v>Mot de passe p. 102-103, 116-117</x:v>
      </x:c>
      <x:c r="K34" s="41" t="str">
        <x:v>À programmer</x:v>
      </x:c>
      <x:c r="L34" s="31" t="str"/>
    </x:row>
    <x:row r="35" ht="72" customHeight="1">
      <x:c r="A35" s="30" t="str">
        <x:v>CM1-FRA-ORT-03</x:v>
      </x:c>
      <x:c r="B35" s="41" t="str">
        <x:v>CM1</x:v>
      </x:c>
      <x:c r="C35" s="41" t="str">
        <x:v>Français</x:v>
      </x:c>
      <x:c r="D35" s="41" t="str">
        <x:v>Orthographe grammaticale</x:v>
      </x:c>
      <x:c r="E35" s="41" t="str">
        <x:v>P3</x:v>
      </x:c>
      <x:c r="F35" s="41" t="str">
        <x:v>P3-P5</x:v>
      </x:c>
      <x:c r="G35" s="41" t="str">
        <x:v>Distinguer des homophones grammaticaux</x:v>
      </x:c>
      <x:c r="H35" s="41" t="str">
        <x:v>L'élève sera capable de choisir entre a/as/à, et/est, on/ont, son/sont selon la syntaxe</x:v>
      </x:c>
      <x:c r="I35" s="41" t="str">
        <x:v>Choix justifié par remplacement dans 8 cas sur 10</x:v>
      </x:c>
      <x:c r="J35" s="41" t="str">
        <x:v>Mot de passe p. 100-101, 138-139</x:v>
      </x:c>
      <x:c r="K35" s="41" t="str">
        <x:v>À programmer</x:v>
      </x:c>
      <x:c r="L35" s="31" t="str"/>
    </x:row>
    <x:row r="36" ht="72" customHeight="1">
      <x:c r="A36" s="30" t="str">
        <x:v>CM1-FRA-CON-01</x:v>
      </x:c>
      <x:c r="B36" s="41" t="str">
        <x:v>CM1</x:v>
      </x:c>
      <x:c r="C36" s="41" t="str">
        <x:v>Français</x:v>
      </x:c>
      <x:c r="D36" s="41" t="str">
        <x:v>Conjugaison</x:v>
      </x:c>
      <x:c r="E36" s="41" t="str">
        <x:v>P1</x:v>
      </x:c>
      <x:c r="F36" s="41" t="str">
        <x:v>P1-P5</x:v>
      </x:c>
      <x:c r="G36" s="41" t="str">
        <x:v>Maîtriser le présent</x:v>
      </x:c>
      <x:c r="H36" s="41" t="str">
        <x:v>L'élève sera capable de conjuguer au présent être, avoir et les verbes exigés du CM1</x:v>
      </x:c>
      <x:c r="I36" s="41" t="str">
        <x:v>Radical et terminaisons corrects dans 8 formes sur 10</x:v>
      </x:c>
      <x:c r="J36" s="41" t="str">
        <x:v>Mot de passe p. 44-45, 66-67, 82-83 + complément BO</x:v>
      </x:c>
      <x:c r="K36" s="41" t="str">
        <x:v>À programmer</x:v>
      </x:c>
      <x:c r="L36" s="31" t="str"/>
    </x:row>
    <x:row r="37" ht="72" customHeight="1">
      <x:c r="A37" s="30" t="str">
        <x:v>CM1-FRA-CON-02</x:v>
      </x:c>
      <x:c r="B37" s="41" t="str">
        <x:v>CM1</x:v>
      </x:c>
      <x:c r="C37" s="41" t="str">
        <x:v>Français</x:v>
      </x:c>
      <x:c r="D37" s="41" t="str">
        <x:v>Conjugaison</x:v>
      </x:c>
      <x:c r="E37" s="41" t="str">
        <x:v>P3</x:v>
      </x:c>
      <x:c r="F37" s="41" t="str">
        <x:v>P3-P5</x:v>
      </x:c>
      <x:c r="G37" s="41" t="str">
        <x:v>Maîtriser l’imparfait</x:v>
      </x:c>
      <x:c r="H37" s="41" t="str">
        <x:v>L'élève sera capable de conjuguer à l’imparfait les verbes du CM1 et repérer marques de temps/personne</x:v>
      </x:c>
      <x:c r="I37" s="41" t="str">
        <x:v>8 formes correctes sur 10</x:v>
      </x:c>
      <x:c r="J37" s="41" t="str">
        <x:v>Mot de passe p. 104-105, 120-121</x:v>
      </x:c>
      <x:c r="K37" s="41" t="str">
        <x:v>À programmer</x:v>
      </x:c>
      <x:c r="L37" s="31" t="str"/>
    </x:row>
    <x:row r="38" ht="72" customHeight="1">
      <x:c r="A38" s="30" t="str">
        <x:v>CM1-FRA-CON-03</x:v>
      </x:c>
      <x:c r="B38" s="41" t="str">
        <x:v>CM1</x:v>
      </x:c>
      <x:c r="C38" s="41" t="str">
        <x:v>Français</x:v>
      </x:c>
      <x:c r="D38" s="41" t="str">
        <x:v>Conjugaison</x:v>
      </x:c>
      <x:c r="E38" s="41" t="str">
        <x:v>P4</x:v>
      </x:c>
      <x:c r="F38" s="41" t="str">
        <x:v>P4-P5</x:v>
      </x:c>
      <x:c r="G38" s="41" t="str">
        <x:v>Maîtriser le futur</x:v>
      </x:c>
      <x:c r="H38" s="41" t="str">
        <x:v>L'élève sera capable de conjuguer au futur les verbes du CM1 en identifiant la marque -r-</x:v>
      </x:c>
      <x:c r="I38" s="41" t="str">
        <x:v>8 formes correctes sur 10</x:v>
      </x:c>
      <x:c r="J38" s="41" t="str">
        <x:v>Mot de passe p. 142-143, 158-159</x:v>
      </x:c>
      <x:c r="K38" s="41" t="str">
        <x:v>À programmer</x:v>
      </x:c>
      <x:c r="L38" s="31" t="str"/>
    </x:row>
    <x:row r="39" ht="72" customHeight="1">
      <x:c r="A39" s="30" t="str">
        <x:v>CM1-FRA-CON-04</x:v>
      </x:c>
      <x:c r="B39" s="41" t="str">
        <x:v>CM1</x:v>
      </x:c>
      <x:c r="C39" s="41" t="str">
        <x:v>Français</x:v>
      </x:c>
      <x:c r="D39" s="41" t="str">
        <x:v>Conjugaison</x:v>
      </x:c>
      <x:c r="E39" s="41" t="str">
        <x:v>P5</x:v>
      </x:c>
      <x:c r="F39" s="41" t="str">
        <x:v>P5</x:v>
      </x:c>
      <x:c r="G39" s="41" t="str">
        <x:v>Maîtriser le passé composé</x:v>
      </x:c>
      <x:c r="H39" s="41" t="str">
        <x:v>L'élève sera capable de former le passé composé et accorder le participe passé avec le sujet après être</x:v>
      </x:c>
      <x:c r="I39" s="41" t="str">
        <x:v>Auxiliaire et participe corrects dans 8 formes sur 10</x:v>
      </x:c>
      <x:c r="J39" s="41" t="str">
        <x:v>Mot de passe p. 180-181, 196-197, 214-215</x:v>
      </x:c>
      <x:c r="K39" s="41" t="str">
        <x:v>À programmer</x:v>
      </x:c>
      <x:c r="L39" s="31" t="str"/>
    </x:row>
    <x:row r="40" ht="72" customHeight="1">
      <x:c r="A40" s="30" t="str">
        <x:v>CM1-MAT-NOM-01</x:v>
      </x:c>
      <x:c r="B40" s="41" t="str">
        <x:v>CM1</x:v>
      </x:c>
      <x:c r="C40" s="41" t="str">
        <x:v>Mathématiques</x:v>
      </x:c>
      <x:c r="D40" s="41" t="str">
        <x:v>Nombres entiers</x:v>
      </x:c>
      <x:c r="E40" s="41" t="str">
        <x:v>P1</x:v>
      </x:c>
      <x:c r="F40" s="41" t="str">
        <x:v>P1-P5</x:v>
      </x:c>
      <x:c r="G40" s="41" t="str">
        <x:v>Comprendre la numération décimale de position</x:v>
      </x:c>
      <x:c r="H40" s="41" t="str">
        <x:v>L'élève sera capable de lire, écrire, comparer et décomposer des entiers jusqu’à 999 999</x:v>
      </x:c>
      <x:c r="I40" s="41" t="str">
        <x:v>8 réponses correctes sur 10 avec justification de la valeur des chiffres</x:v>
      </x:c>
      <x:c r="J40" s="41" t="str">
        <x:v>ACCÈS : nombres jusqu’à 9 999 puis 999 999</x:v>
      </x:c>
      <x:c r="K40" s="41" t="str">
        <x:v>À programmer</x:v>
      </x:c>
      <x:c r="L40" s="31" t="str"/>
    </x:row>
    <x:row r="41" ht="72" customHeight="1">
      <x:c r="A41" s="30" t="str">
        <x:v>CM1-MAT-NOM-02</x:v>
      </x:c>
      <x:c r="B41" s="41" t="str">
        <x:v>CM1</x:v>
      </x:c>
      <x:c r="C41" s="41" t="str">
        <x:v>Mathématiques</x:v>
      </x:c>
      <x:c r="D41" s="41" t="str">
        <x:v>Nombres entiers</x:v>
      </x:c>
      <x:c r="E41" s="41" t="str">
        <x:v>P1</x:v>
      </x:c>
      <x:c r="F41" s="41" t="str">
        <x:v>P1-P5</x:v>
      </x:c>
      <x:c r="G41" s="41" t="str">
        <x:v>Repérer des nombres entiers</x:v>
      </x:c>
      <x:c r="H41" s="41" t="str">
        <x:v>L'élève sera capable de placer et repérer des entiers sur une demi-droite graduée</x:v>
      </x:c>
      <x:c r="I41" s="41" t="str">
        <x:v>Graduation comprise et position exacte dans 4 cas sur 5</x:v>
      </x:c>
      <x:c r="J41" s="41" t="str">
        <x:v>ACCÈS : demi-droite graduée</x:v>
      </x:c>
      <x:c r="K41" s="41" t="str">
        <x:v>À programmer</x:v>
      </x:c>
      <x:c r="L41" s="31" t="str"/>
    </x:row>
    <x:row r="42" ht="72" customHeight="1">
      <x:c r="A42" s="30" t="str">
        <x:v>CM1-MAT-FRA-01</x:v>
      </x:c>
      <x:c r="B42" s="41" t="str">
        <x:v>CM1</x:v>
      </x:c>
      <x:c r="C42" s="41" t="str">
        <x:v>Mathématiques</x:v>
      </x:c>
      <x:c r="D42" s="41" t="str">
        <x:v>Fractions</x:v>
      </x:c>
      <x:c r="E42" s="41" t="str">
        <x:v>P1</x:v>
      </x:c>
      <x:c r="F42" s="41" t="str">
        <x:v>P1-P5</x:v>
      </x:c>
      <x:c r="G42" s="41" t="str">
        <x:v>Interpréter et représenter une fraction</x:v>
      </x:c>
      <x:c r="H42" s="41" t="str">
        <x:v>L'élève sera capable de lire, écrire et représenter une fraction inférieure ou supérieure à 1</x:v>
      </x:c>
      <x:c r="I42" s="41" t="str">
        <x:v>Représentation et écriture concordent dans 4 cas sur 5</x:v>
      </x:c>
      <x:c r="J42" s="41" t="str">
        <x:v>ACCÈS : Fractions 1-3</x:v>
      </x:c>
      <x:c r="K42" s="41" t="str">
        <x:v>À programmer</x:v>
      </x:c>
      <x:c r="L42" s="31" t="str"/>
    </x:row>
    <x:row r="43" ht="72" customHeight="1">
      <x:c r="A43" s="30" t="str">
        <x:v>CM1-MAT-FRA-02</x:v>
      </x:c>
      <x:c r="B43" s="41" t="str">
        <x:v>CM1</x:v>
      </x:c>
      <x:c r="C43" s="41" t="str">
        <x:v>Mathématiques</x:v>
      </x:c>
      <x:c r="D43" s="41" t="str">
        <x:v>Fractions</x:v>
      </x:c>
      <x:c r="E43" s="41" t="str">
        <x:v>P1</x:v>
      </x:c>
      <x:c r="F43" s="41" t="str">
        <x:v>P1-P5</x:v>
      </x:c>
      <x:c r="G43" s="41" t="str">
        <x:v>Comparer des fractions</x:v>
      </x:c>
      <x:c r="H43" s="41" t="str">
        <x:v>L'élève sera capable de comparer des fractions de même dénominateur ou à l’aide de représentations</x:v>
      </x:c>
      <x:c r="I43" s="41" t="str">
        <x:v>Signe de comparaison correct et justification fournie</x:v>
      </x:c>
      <x:c r="J43" s="41" t="str">
        <x:v>ACCÈS : Fractions 1-3</x:v>
      </x:c>
      <x:c r="K43" s="41" t="str">
        <x:v>À programmer</x:v>
      </x:c>
      <x:c r="L43" s="31" t="str"/>
    </x:row>
    <x:row r="44" ht="72" customHeight="1">
      <x:c r="A44" s="30" t="str">
        <x:v>CM1-MAT-FRA-03</x:v>
      </x:c>
      <x:c r="B44" s="41" t="str">
        <x:v>CM1</x:v>
      </x:c>
      <x:c r="C44" s="41" t="str">
        <x:v>Mathématiques</x:v>
      </x:c>
      <x:c r="D44" s="41" t="str">
        <x:v>Fractions</x:v>
      </x:c>
      <x:c r="E44" s="41" t="str">
        <x:v>P1</x:v>
      </x:c>
      <x:c r="F44" s="41" t="str">
        <x:v>P1-P5</x:v>
      </x:c>
      <x:c r="G44" s="41" t="str">
        <x:v>Calculer avec des fractions</x:v>
      </x:c>
      <x:c r="H44" s="41" t="str">
        <x:v>L'élève sera capable de additionner ou soustraire des fractions de même dénominateur</x:v>
      </x:c>
      <x:c r="I44" s="41" t="str">
        <x:v>Résultat exact et représentation cohérente dans 4 cas sur 5</x:v>
      </x:c>
      <x:c r="J44" s="41" t="str">
        <x:v>ACCÈS : Fractions 2-3</x:v>
      </x:c>
      <x:c r="K44" s="41" t="str">
        <x:v>À programmer</x:v>
      </x:c>
      <x:c r="L44" s="31" t="str"/>
    </x:row>
    <x:row r="45" ht="72" customHeight="1">
      <x:c r="A45" s="30" t="str">
        <x:v>CM1-MAT-FRA-04</x:v>
      </x:c>
      <x:c r="B45" s="41" t="str">
        <x:v>CM1</x:v>
      </x:c>
      <x:c r="C45" s="41" t="str">
        <x:v>Mathématiques</x:v>
      </x:c>
      <x:c r="D45" s="41" t="str">
        <x:v>Fractions</x:v>
      </x:c>
      <x:c r="E45" s="41" t="str">
        <x:v>P2</x:v>
      </x:c>
      <x:c r="F45" s="41" t="str">
        <x:v>P2-P5</x:v>
      </x:c>
      <x:c r="G45" s="41" t="str">
        <x:v>Comprendre les fractions décimales</x:v>
      </x:c>
      <x:c r="H45" s="41" t="str">
        <x:v>L'élève sera capable de relier dixièmes et centièmes à une mesure ou une demi-droite</x:v>
      </x:c>
      <x:c r="I45" s="41" t="str">
        <x:v>Fraction décimale correctement placée et décomposée</x:v>
      </x:c>
      <x:c r="J45" s="41" t="str">
        <x:v>ACCÈS : Fractions décimales 1-2</x:v>
      </x:c>
      <x:c r="K45" s="41" t="str">
        <x:v>À programmer</x:v>
      </x:c>
      <x:c r="L45" s="31" t="str"/>
    </x:row>
    <x:row r="46" ht="72" customHeight="1">
      <x:c r="A46" s="30" t="str">
        <x:v>CM1-MAT-DEC-01</x:v>
      </x:c>
      <x:c r="B46" s="41" t="str">
        <x:v>CM1</x:v>
      </x:c>
      <x:c r="C46" s="41" t="str">
        <x:v>Mathématiques</x:v>
      </x:c>
      <x:c r="D46" s="41" t="str">
        <x:v>Nombres décimaux</x:v>
      </x:c>
      <x:c r="E46" s="41" t="str">
        <x:v>P2</x:v>
      </x:c>
      <x:c r="F46" s="41" t="str">
        <x:v>P2-P5</x:v>
      </x:c>
      <x:c r="G46" s="41" t="str">
        <x:v>Passer des fractions décimales aux écritures à virgule</x:v>
      </x:c>
      <x:c r="H46" s="41" t="str">
        <x:v>L'élève sera capable de écrire un nombre en fraction décimale, décomposition et écriture à virgule</x:v>
      </x:c>
      <x:c r="I46" s="41" t="str">
        <x:v>Trois écritures équivalentes exactes dans 4 cas sur 5</x:v>
      </x:c>
      <x:c r="J46" s="41" t="str">
        <x:v>ACCÈS : Nombres décimaux 1</x:v>
      </x:c>
      <x:c r="K46" s="41" t="str">
        <x:v>À programmer</x:v>
      </x:c>
      <x:c r="L46" s="31" t="str"/>
    </x:row>
    <x:row r="47" ht="72" customHeight="1">
      <x:c r="A47" s="30" t="str">
        <x:v>CM1-MAT-DEC-02</x:v>
      </x:c>
      <x:c r="B47" s="41" t="str">
        <x:v>CM1</x:v>
      </x:c>
      <x:c r="C47" s="41" t="str">
        <x:v>Mathématiques</x:v>
      </x:c>
      <x:c r="D47" s="41" t="str">
        <x:v>Nombres décimaux</x:v>
      </x:c>
      <x:c r="E47" s="41" t="str">
        <x:v>P3</x:v>
      </x:c>
      <x:c r="F47" s="41" t="str">
        <x:v>P3-P5</x:v>
      </x:c>
      <x:c r="G47" s="41" t="str">
        <x:v>Comparer des nombres décimaux</x:v>
      </x:c>
      <x:c r="H47" s="41" t="str">
        <x:v>L'élève sera capable de comparer, ranger et encadrer des décimaux jusqu’aux centièmes</x:v>
      </x:c>
      <x:c r="I47" s="41" t="str">
        <x:v>8 comparaisons ou encadrements corrects sur 10</x:v>
      </x:c>
      <x:c r="J47" s="41" t="str">
        <x:v>ACCÈS : Nombres décimaux 2-3</x:v>
      </x:c>
      <x:c r="K47" s="41" t="str">
        <x:v>À programmer</x:v>
      </x:c>
      <x:c r="L47" s="31" t="str"/>
    </x:row>
    <x:row r="48" ht="72" customHeight="1">
      <x:c r="A48" s="30" t="str">
        <x:v>CM1-MAT-CAL-01</x:v>
      </x:c>
      <x:c r="B48" s="41" t="str">
        <x:v>CM1</x:v>
      </x:c>
      <x:c r="C48" s="41" t="str">
        <x:v>Mathématiques</x:v>
      </x:c>
      <x:c r="D48" s="41" t="str">
        <x:v>Calcul mental</x:v>
      </x:c>
      <x:c r="E48" s="41" t="str">
        <x:v>P1</x:v>
      </x:c>
      <x:c r="F48" s="41" t="str">
        <x:v>P1-P5</x:v>
      </x:c>
      <x:c r="G48" s="41" t="str">
        <x:v>Mémoriser des faits numériques</x:v>
      </x:c>
      <x:c r="H48" s="41" t="str">
        <x:v>L'élève sera capable de restituer tables d’addition et de multiplication et relations usuelles</x:v>
      </x:c>
      <x:c r="I48" s="41" t="str">
        <x:v>Au moins 80 % de réussite dans un temps donné</x:v>
      </x:c>
      <x:c r="J48" s="41" t="str">
        <x:v>ACCÈS : calcul mental quotidien</x:v>
      </x:c>
      <x:c r="K48" s="41" t="str">
        <x:v>À programmer</x:v>
      </x:c>
      <x:c r="L48" s="31" t="str"/>
    </x:row>
    <x:row r="49" ht="72" customHeight="1">
      <x:c r="A49" s="30" t="str">
        <x:v>CM1-MAT-CAL-02</x:v>
      </x:c>
      <x:c r="B49" s="41" t="str">
        <x:v>CM1</x:v>
      </x:c>
      <x:c r="C49" s="41" t="str">
        <x:v>Mathématiques</x:v>
      </x:c>
      <x:c r="D49" s="41" t="str">
        <x:v>Calcul mental</x:v>
      </x:c>
      <x:c r="E49" s="41" t="str">
        <x:v>P2</x:v>
      </x:c>
      <x:c r="F49" s="41" t="str">
        <x:v>P2-P5</x:v>
      </x:c>
      <x:c r="G49" s="41" t="str">
        <x:v>Utiliser la numération pour calculer</x:v>
      </x:c>
      <x:c r="H49" s="41" t="str">
        <x:v>L'élève sera capable de multiplier ou diviser par 10, 100 ou 1 000 selon les nombres étudiés</x:v>
      </x:c>
      <x:c r="I49" s="41" t="str">
        <x:v>8 calculs exacts sur 10 et procédure expliquée</x:v>
      </x:c>
      <x:c r="J49" s="41" t="str">
        <x:v>ACCÈS : calcul mental P2-P5</x:v>
      </x:c>
      <x:c r="K49" s="41" t="str">
        <x:v>À programmer</x:v>
      </x:c>
      <x:c r="L49" s="31" t="str"/>
    </x:row>
    <x:row r="50" ht="72" customHeight="1">
      <x:c r="A50" s="30" t="str">
        <x:v>CM1-MAT-CAL-03</x:v>
      </x:c>
      <x:c r="B50" s="41" t="str">
        <x:v>CM1</x:v>
      </x:c>
      <x:c r="C50" s="41" t="str">
        <x:v>Mathématiques</x:v>
      </x:c>
      <x:c r="D50" s="41" t="str">
        <x:v>Calcul mental</x:v>
      </x:c>
      <x:c r="E50" s="41" t="str">
        <x:v>P2</x:v>
      </x:c>
      <x:c r="F50" s="41" t="str">
        <x:v>P2-P5</x:v>
      </x:c>
      <x:c r="G50" s="41" t="str">
        <x:v>Choisir une stratégie efficace</x:v>
      </x:c>
      <x:c r="H50" s="41" t="str">
        <x:v>L'élève sera capable de calculer mentalement en utilisant décomposition, distributivité, doubles ou compléments</x:v>
      </x:c>
      <x:c r="I50" s="41" t="str">
        <x:v>Procédure correcte, expliquée et plus efficace qu’un calcul posé</x:v>
      </x:c>
      <x:c r="J50" s="41" t="str">
        <x:v>ACCÈS : procédures P2-P5</x:v>
      </x:c>
      <x:c r="K50" s="41" t="str">
        <x:v>À programmer</x:v>
      </x:c>
      <x:c r="L50" s="31" t="str"/>
    </x:row>
    <x:row r="51" ht="72" customHeight="1">
      <x:c r="A51" s="30" t="str">
        <x:v>CM1-MAT-OPE-01</x:v>
      </x:c>
      <x:c r="B51" s="41" t="str">
        <x:v>CM1</x:v>
      </x:c>
      <x:c r="C51" s="41" t="str">
        <x:v>Mathématiques</x:v>
      </x:c>
      <x:c r="D51" s="41" t="str">
        <x:v>Opérations</x:v>
      </x:c>
      <x:c r="E51" s="41" t="str">
        <x:v>P1</x:v>
      </x:c>
      <x:c r="F51" s="41" t="str">
        <x:v>P1-P5</x:v>
      </x:c>
      <x:c r="G51" s="41" t="str">
        <x:v>Maîtriser addition et soustraction posées</x:v>
      </x:c>
      <x:c r="H51" s="41" t="str">
        <x:v>L'élève sera capable de poser et effectuer additions et soustractions d’entiers</x:v>
      </x:c>
      <x:c r="I51" s="41" t="str">
        <x:v>Résultat exact et alignement des rangs respecté</x:v>
      </x:c>
      <x:c r="J51" s="41" t="str">
        <x:v>ACCÈS : réactivation puis décimaux P2</x:v>
      </x:c>
      <x:c r="K51" s="41" t="str">
        <x:v>À programmer</x:v>
      </x:c>
      <x:c r="L51" s="31" t="str"/>
    </x:row>
    <x:row r="52" ht="72" customHeight="1">
      <x:c r="A52" s="30" t="str">
        <x:v>CM1-MAT-OPE-02</x:v>
      </x:c>
      <x:c r="B52" s="41" t="str">
        <x:v>CM1</x:v>
      </x:c>
      <x:c r="C52" s="41" t="str">
        <x:v>Mathématiques</x:v>
      </x:c>
      <x:c r="D52" s="41" t="str">
        <x:v>Opérations</x:v>
      </x:c>
      <x:c r="E52" s="41" t="str">
        <x:v>P2</x:v>
      </x:c>
      <x:c r="F52" s="41" t="str">
        <x:v>P2-P5</x:v>
      </x:c>
      <x:c r="G52" s="41" t="str">
        <x:v>Calculer avec des décimaux</x:v>
      </x:c>
      <x:c r="H52" s="41" t="str">
        <x:v>L'élève sera capable de poser et effectuer addition et soustraction de décimaux</x:v>
      </x:c>
      <x:c r="I52" s="41" t="str">
        <x:v>Virgules alignées et résultat exact dans 4 cas sur 5</x:v>
      </x:c>
      <x:c r="J52" s="41" t="str">
        <x:v>ACCÈS : addition/soustraction décimaux</x:v>
      </x:c>
      <x:c r="K52" s="41" t="str">
        <x:v>À programmer</x:v>
      </x:c>
      <x:c r="L52" s="31" t="str"/>
    </x:row>
    <x:row r="53" ht="72" customHeight="1">
      <x:c r="A53" s="30" t="str">
        <x:v>CM1-MAT-OPE-03</x:v>
      </x:c>
      <x:c r="B53" s="41" t="str">
        <x:v>CM1</x:v>
      </x:c>
      <x:c r="C53" s="41" t="str">
        <x:v>Mathématiques</x:v>
      </x:c>
      <x:c r="D53" s="41" t="str">
        <x:v>Opérations</x:v>
      </x:c>
      <x:c r="E53" s="41" t="str">
        <x:v>P2</x:v>
      </x:c>
      <x:c r="F53" s="41" t="str">
        <x:v>P2-P5</x:v>
      </x:c>
      <x:c r="G53" s="41" t="str">
        <x:v>Maîtriser la multiplication posée</x:v>
      </x:c>
      <x:c r="H53" s="41" t="str">
        <x:v>L'élève sera capable de poser et effectuer une multiplication d’entiers puis d’un décimal par un petit entier</x:v>
      </x:c>
      <x:c r="I53" s="41" t="str">
        <x:v>Technique correcte et résultat contrôlé par estimation</x:v>
      </x:c>
      <x:c r="J53" s="41" t="str">
        <x:v>ACCÈS : multiplication posée 1-2</x:v>
      </x:c>
      <x:c r="K53" s="41" t="str">
        <x:v>À programmer</x:v>
      </x:c>
      <x:c r="L53" s="31" t="str"/>
    </x:row>
    <x:row r="54" ht="72" customHeight="1">
      <x:c r="A54" s="30" t="str">
        <x:v>CM1-MAT-OPE-04</x:v>
      </x:c>
      <x:c r="B54" s="41" t="str">
        <x:v>CM1</x:v>
      </x:c>
      <x:c r="C54" s="41" t="str">
        <x:v>Mathématiques</x:v>
      </x:c>
      <x:c r="D54" s="41" t="str">
        <x:v>Opérations</x:v>
      </x:c>
      <x:c r="E54" s="41" t="str">
        <x:v>P3</x:v>
      </x:c>
      <x:c r="F54" s="41" t="str">
        <x:v>P3-P5</x:v>
      </x:c>
      <x:c r="G54" s="41" t="str">
        <x:v>Maîtriser la division euclidienne</x:v>
      </x:c>
      <x:c r="H54" s="41" t="str">
        <x:v>L'élève sera capable de poser et effectuer une division par un diviseur à un chiffre</x:v>
      </x:c>
      <x:c r="I54" s="41" t="str">
        <x:v>Quotient et reste exacts, égalité de vérification écrite</x:v>
      </x:c>
      <x:c r="J54" s="41" t="str">
        <x:v>ACCÈS : Division 1-2</x:v>
      </x:c>
      <x:c r="K54" s="41" t="str">
        <x:v>À programmer</x:v>
      </x:c>
      <x:c r="L54" s="31" t="str"/>
    </x:row>
    <x:row r="55" ht="72" customHeight="1">
      <x:c r="A55" s="30" t="str">
        <x:v>CM1-MAT-PRO-01</x:v>
      </x:c>
      <x:c r="B55" s="41" t="str">
        <x:v>CM1</x:v>
      </x:c>
      <x:c r="C55" s="41" t="str">
        <x:v>Mathématiques</x:v>
      </x:c>
      <x:c r="D55" s="41" t="str">
        <x:v>Résolution de problèmes</x:v>
      </x:c>
      <x:c r="E55" s="41" t="str">
        <x:v>P1</x:v>
      </x:c>
      <x:c r="F55" s="41" t="str">
        <x:v>P1-P5</x:v>
      </x:c>
      <x:c r="G55" s="41" t="str">
        <x:v>Résoudre des problèmes additifs et multiplicatifs</x:v>
      </x:c>
      <x:c r="H55" s="41" t="str">
        <x:v>L'élève sera capable de modéliser et résoudre un problème en une ou plusieurs étapes</x:v>
      </x:c>
      <x:c r="I55" s="41" t="str">
        <x:v>Données utiles, opération, calcul et phrase-réponse cohérents</x:v>
      </x:c>
      <x:c r="J55" s="41" t="str">
        <x:v>ACCÈS : ateliers problèmes</x:v>
      </x:c>
      <x:c r="K55" s="41" t="str">
        <x:v>À programmer</x:v>
      </x:c>
      <x:c r="L55" s="31" t="str"/>
    </x:row>
    <x:row r="56" ht="72" customHeight="1">
      <x:c r="A56" s="30" t="str">
        <x:v>CM1-MAT-PRO-02</x:v>
      </x:c>
      <x:c r="B56" s="41" t="str">
        <x:v>CM1</x:v>
      </x:c>
      <x:c r="C56" s="41" t="str">
        <x:v>Mathématiques</x:v>
      </x:c>
      <x:c r="D56" s="41" t="str">
        <x:v>Résolution de problèmes</x:v>
      </x:c>
      <x:c r="E56" s="41" t="str">
        <x:v>P3</x:v>
      </x:c>
      <x:c r="F56" s="41" t="str">
        <x:v>P3-P5</x:v>
      </x:c>
      <x:c r="G56" s="41" t="str">
        <x:v>Résoudre des problèmes de proportionnalité</x:v>
      </x:c>
      <x:c r="H56" s="41" t="str">
        <x:v>L'élève sera capable de utiliser un raisonnement de linéarité formulé en langage naturel</x:v>
      </x:c>
      <x:c r="I56" s="41" t="str">
        <x:v>Relation multiplicative explicitée sans produit en croix</x:v>
      </x:c>
      <x:c r="J56" s="41" t="str">
        <x:v>ACCÈS : proportionnalité P3-P5</x:v>
      </x:c>
      <x:c r="K56" s="41" t="str">
        <x:v>À programmer</x:v>
      </x:c>
      <x:c r="L56" s="31" t="str"/>
    </x:row>
    <x:row r="57" ht="72" customHeight="1">
      <x:c r="A57" s="30" t="str">
        <x:v>CM1-MAT-PRO-03</x:v>
      </x:c>
      <x:c r="B57" s="41" t="str">
        <x:v>CM1</x:v>
      </x:c>
      <x:c r="C57" s="41" t="str">
        <x:v>Mathématiques</x:v>
      </x:c>
      <x:c r="D57" s="41" t="str">
        <x:v>Résolution de problèmes</x:v>
      </x:c>
      <x:c r="E57" s="41" t="str">
        <x:v>P5</x:v>
      </x:c>
      <x:c r="F57" s="41" t="str">
        <x:v>P5</x:v>
      </x:c>
      <x:c r="G57" s="41" t="str">
        <x:v>Résoudre des problèmes complexes</x:v>
      </x:c>
      <x:c r="H57" s="41" t="str">
        <x:v>L'élève sera capable de organiser une recherche mobilisant plusieurs domaines et contrôler le résultat</x:v>
      </x:c>
      <x:c r="I57" s="41" t="str">
        <x:v>Démarche lisible, résultat plausible et contrôle explicite</x:v>
      </x:c>
      <x:c r="J57" s="41" t="str">
        <x:v>ACCÈS : problèmes variés P5</x:v>
      </x:c>
      <x:c r="K57" s="41" t="str">
        <x:v>À programmer</x:v>
      </x:c>
      <x:c r="L57" s="31" t="str"/>
    </x:row>
    <x:row r="58" ht="72" customHeight="1">
      <x:c r="A58" s="30" t="str">
        <x:v>CM1-MAT-ALG-01</x:v>
      </x:c>
      <x:c r="B58" s="41" t="str">
        <x:v>CM1</x:v>
      </x:c>
      <x:c r="C58" s="41" t="str">
        <x:v>Mathématiques</x:v>
      </x:c>
      <x:c r="D58" s="41" t="str">
        <x:v>Algèbre</x:v>
      </x:c>
      <x:c r="E58" s="41" t="str">
        <x:v>P1</x:v>
      </x:c>
      <x:c r="F58" s="41" t="str">
        <x:v>P1-P5</x:v>
      </x:c>
      <x:c r="G58" s="41" t="str">
        <x:v>Raisonner sur un nombre inconnu</x:v>
      </x:c>
      <x:c r="H58" s="41" t="str">
        <x:v>L'élève sera capable de utiliser schéma, symbole ou balance pour trouver une valeur inconnue</x:v>
      </x:c>
      <x:c r="I58" s="41" t="str">
        <x:v>Relation conservée et valeur vérifiée</x:v>
      </x:c>
      <x:c r="J58" s="41" t="str">
        <x:v>ACCÈS : Algèbre 1-2</x:v>
      </x:c>
      <x:c r="K58" s="41" t="str">
        <x:v>À programmer</x:v>
      </x:c>
      <x:c r="L58" s="31" t="str"/>
    </x:row>
    <x:row r="59" ht="72" customHeight="1">
      <x:c r="A59" s="30" t="str">
        <x:v>CM1-MAT-ALG-02</x:v>
      </x:c>
      <x:c r="B59" s="41" t="str">
        <x:v>CM1</x:v>
      </x:c>
      <x:c r="C59" s="41" t="str">
        <x:v>Mathématiques</x:v>
      </x:c>
      <x:c r="D59" s="41" t="str">
        <x:v>Algèbre</x:v>
      </x:c>
      <x:c r="E59" s="41" t="str">
        <x:v>P3</x:v>
      </x:c>
      <x:c r="F59" s="41" t="str">
        <x:v>P3-P5</x:v>
      </x:c>
      <x:c r="G59" s="41" t="str">
        <x:v>Reconnaître et généraliser une régularité</x:v>
      </x:c>
      <x:c r="H59" s="41" t="str">
        <x:v>L'élève sera capable de poursuivre une suite de nombres ou un motif en formulant la règle</x:v>
      </x:c>
      <x:c r="I59" s="41" t="str">
        <x:v>Règle correcte appliquée à au moins deux nouveaux termes</x:v>
      </x:c>
      <x:c r="J59" s="41" t="str">
        <x:v>ACCÈS : algèbre et suites</x:v>
      </x:c>
      <x:c r="K59" s="41" t="str">
        <x:v>À programmer</x:v>
      </x:c>
      <x:c r="L59" s="31" t="str"/>
    </x:row>
    <x:row r="60" ht="72" customHeight="1">
      <x:c r="A60" s="30" t="str">
        <x:v>CM1-MAT-MES-01</x:v>
      </x:c>
      <x:c r="B60" s="41" t="str">
        <x:v>CM1</x:v>
      </x:c>
      <x:c r="C60" s="41" t="str">
        <x:v>Mathématiques</x:v>
      </x:c>
      <x:c r="D60" s="41" t="str">
        <x:v>Longueurs et périmètres</x:v>
      </x:c>
      <x:c r="E60" s="41" t="str">
        <x:v>P3</x:v>
      </x:c>
      <x:c r="F60" s="41" t="str">
        <x:v>P3-P5</x:v>
      </x:c>
      <x:c r="G60" s="41" t="str">
        <x:v>Mesurer et convertir des longueurs</x:v>
      </x:c>
      <x:c r="H60" s="41" t="str">
        <x:v>L'élève sera capable de choisir une unité, mesurer, convertir et résoudre un problème de périmètre</x:v>
      </x:c>
      <x:c r="I60" s="41" t="str">
        <x:v>Unité adaptée, conversion et résultat exacts</x:v>
      </x:c>
      <x:c r="J60" s="41" t="str">
        <x:v>ACCÈS : longueurs P3, périmètres P4</x:v>
      </x:c>
      <x:c r="K60" s="41" t="str">
        <x:v>À programmer</x:v>
      </x:c>
      <x:c r="L60" s="31" t="str"/>
    </x:row>
    <x:row r="61" ht="72" customHeight="1">
      <x:c r="A61" s="30" t="str">
        <x:v>CM1-MAT-MES-02</x:v>
      </x:c>
      <x:c r="B61" s="41" t="str">
        <x:v>CM1</x:v>
      </x:c>
      <x:c r="C61" s="41" t="str">
        <x:v>Mathématiques</x:v>
      </x:c>
      <x:c r="D61" s="41" t="str">
        <x:v>Aires</x:v>
      </x:c>
      <x:c r="E61" s="41" t="str">
        <x:v>P1</x:v>
      </x:c>
      <x:c r="F61" s="41" t="str">
        <x:v>P1-P5</x:v>
      </x:c>
      <x:c r="G61" s="41" t="str">
        <x:v>Comparer et mesurer des aires</x:v>
      </x:c>
      <x:c r="H61" s="41" t="str">
        <x:v>L'élève sera capable de comparer des surfaces puis exprimer une aire en cm²</x:v>
      </x:c>
      <x:c r="I61" s="41" t="str">
        <x:v>Procédure de pavage ou découpage correcte</x:v>
      </x:c>
      <x:c r="J61" s="41" t="str">
        <x:v>ACCÈS : Aires 1-2</x:v>
      </x:c>
      <x:c r="K61" s="41" t="str">
        <x:v>À programmer</x:v>
      </x:c>
      <x:c r="L61" s="31" t="str"/>
    </x:row>
    <x:row r="62" ht="72" customHeight="1">
      <x:c r="A62" s="30" t="str">
        <x:v>CM1-MAT-MES-03</x:v>
      </x:c>
      <x:c r="B62" s="41" t="str">
        <x:v>CM1</x:v>
      </x:c>
      <x:c r="C62" s="41" t="str">
        <x:v>Mathématiques</x:v>
      </x:c>
      <x:c r="D62" s="41" t="str">
        <x:v>Masses et contenances</x:v>
      </x:c>
      <x:c r="E62" s="41" t="str">
        <x:v>P5</x:v>
      </x:c>
      <x:c r="F62" s="41" t="str">
        <x:v>P5</x:v>
      </x:c>
      <x:c r="G62" s="41" t="str">
        <x:v>Utiliser masses et contenances</x:v>
      </x:c>
      <x:c r="H62" s="41" t="str">
        <x:v>L'élève sera capable de estimer, mesurer, convertir et résoudre des problèmes simples</x:v>
      </x:c>
      <x:c r="I62" s="41" t="str">
        <x:v>Unité et ordre de grandeur plausibles, calcul exact</x:v>
      </x:c>
      <x:c r="J62" s="41" t="str">
        <x:v>ACCÈS : masses et contenances P5</x:v>
      </x:c>
      <x:c r="K62" s="41" t="str">
        <x:v>À programmer</x:v>
      </x:c>
      <x:c r="L62" s="31" t="str"/>
    </x:row>
    <x:row r="63" ht="72" customHeight="1">
      <x:c r="A63" s="30" t="str">
        <x:v>CM1-MAT-MES-04</x:v>
      </x:c>
      <x:c r="B63" s="41" t="str">
        <x:v>CM1</x:v>
      </x:c>
      <x:c r="C63" s="41" t="str">
        <x:v>Mathématiques</x:v>
      </x:c>
      <x:c r="D63" s="41" t="str">
        <x:v>Durées</x:v>
      </x:c>
      <x:c r="E63" s="41" t="str">
        <x:v>P5</x:v>
      </x:c>
      <x:c r="F63" s="41" t="str">
        <x:v>P5</x:v>
      </x:c>
      <x:c r="G63" s="41" t="str">
        <x:v>Calculer avec heures et minutes</x:v>
      </x:c>
      <x:c r="H63" s="41" t="str">
        <x:v>L'élève sera capable de déterminer une durée ou un horaire en heures et minutes</x:v>
      </x:c>
      <x:c r="I63" s="41" t="str">
        <x:v>Schéma temporel et calcul corrects dans 4 cas sur 5</x:v>
      </x:c>
      <x:c r="J63" s="41" t="str">
        <x:v>ACCÈS : durées P5</x:v>
      </x:c>
      <x:c r="K63" s="41" t="str">
        <x:v>À programmer</x:v>
      </x:c>
      <x:c r="L63" s="31" t="str"/>
    </x:row>
    <x:row r="64" ht="72" customHeight="1">
      <x:c r="A64" s="30" t="str">
        <x:v>CM1-MAT-MES-05</x:v>
      </x:c>
      <x:c r="B64" s="41" t="str">
        <x:v>CM1</x:v>
      </x:c>
      <x:c r="C64" s="41" t="str">
        <x:v>Mathématiques</x:v>
      </x:c>
      <x:c r="D64" s="41" t="str">
        <x:v>Angles</x:v>
      </x:c>
      <x:c r="E64" s="41" t="str">
        <x:v>P5</x:v>
      </x:c>
      <x:c r="F64" s="41" t="str">
        <x:v>P5</x:v>
      </x:c>
      <x:c r="G64" s="41" t="str">
        <x:v>Comparer des angles</x:v>
      </x:c>
      <x:c r="H64" s="41" t="str">
        <x:v>L'élève sera capable de identifier, nommer et comparer des angles avec un gabarit</x:v>
      </x:c>
      <x:c r="I64" s="41" t="str">
        <x:v>Comparaison correcte et vocabulaire précis</x:v>
      </x:c>
      <x:c r="J64" s="41" t="str">
        <x:v>ACCÈS : angles P5</x:v>
      </x:c>
      <x:c r="K64" s="41" t="str">
        <x:v>À programmer</x:v>
      </x:c>
      <x:c r="L64" s="31" t="str"/>
    </x:row>
    <x:row r="65" ht="72" customHeight="1">
      <x:c r="A65" s="30" t="str">
        <x:v>CM1-MAT-GEO-01</x:v>
      </x:c>
      <x:c r="B65" s="41" t="str">
        <x:v>CM1</x:v>
      </x:c>
      <x:c r="C65" s="41" t="str">
        <x:v>Mathématiques</x:v>
      </x:c>
      <x:c r="D65" s="41" t="str">
        <x:v>Géométrie plane</x:v>
      </x:c>
      <x:c r="E65" s="41" t="str">
        <x:v>P1</x:v>
      </x:c>
      <x:c r="F65" s="41" t="str">
        <x:v>P1-P5</x:v>
      </x:c>
      <x:c r="G65" s="41" t="str">
        <x:v>Reconnaître perpendicularité et parallélisme</x:v>
      </x:c>
      <x:c r="H65" s="41" t="str">
        <x:v>L'élève sera capable de identifier puis tracer droites perpendiculaires et parallèles</x:v>
      </x:c>
      <x:c r="I65" s="41" t="str">
        <x:v>Tracé précis vérifié à l’équerre</x:v>
      </x:c>
      <x:c r="J65" s="41" t="str">
        <x:v>ACCÈS : perpendiculaires P1, parallèles P2</x:v>
      </x:c>
      <x:c r="K65" s="41" t="str">
        <x:v>À programmer</x:v>
      </x:c>
      <x:c r="L65" s="31" t="str"/>
    </x:row>
    <x:row r="66" ht="72" customHeight="1">
      <x:c r="A66" s="30" t="str">
        <x:v>CM1-MAT-GEO-02</x:v>
      </x:c>
      <x:c r="B66" s="41" t="str">
        <x:v>CM1</x:v>
      </x:c>
      <x:c r="C66" s="41" t="str">
        <x:v>Mathématiques</x:v>
      </x:c>
      <x:c r="D66" s="41" t="str">
        <x:v>Figures planes</x:v>
      </x:c>
      <x:c r="E66" s="41" t="str">
        <x:v>P4</x:v>
      </x:c>
      <x:c r="F66" s="41" t="str">
        <x:v>P4-P5</x:v>
      </x:c>
      <x:c r="G66" s="41" t="str">
        <x:v>Construire des figures usuelles</x:v>
      </x:c>
      <x:c r="H66" s="41" t="str">
        <x:v>L'élève sera capable de décrire et construire cercle, triangle et quadrilatère avec instruments</x:v>
      </x:c>
      <x:c r="I66" s="41" t="str">
        <x:v>Programme respecté et propriétés vérifiées</x:v>
      </x:c>
      <x:c r="J66" s="41" t="str">
        <x:v>ACCÈS : cercle/triangles P4, quadrilatères P5</x:v>
      </x:c>
      <x:c r="K66" s="41" t="str">
        <x:v>À programmer</x:v>
      </x:c>
      <x:c r="L66" s="31" t="str"/>
    </x:row>
    <x:row r="67" ht="72" customHeight="1">
      <x:c r="A67" s="30" t="str">
        <x:v>CM1-MAT-GEO-03</x:v>
      </x:c>
      <x:c r="B67" s="41" t="str">
        <x:v>CM1</x:v>
      </x:c>
      <x:c r="C67" s="41" t="str">
        <x:v>Mathématiques</x:v>
      </x:c>
      <x:c r="D67" s="41" t="str">
        <x:v>Symétrie</x:v>
      </x:c>
      <x:c r="E67" s="41" t="str">
        <x:v>P5</x:v>
      </x:c>
      <x:c r="F67" s="41" t="str">
        <x:v>P5</x:v>
      </x:c>
      <x:c r="G67" s="41" t="str">
        <x:v>Reconnaître et construire un axe de symétrie</x:v>
      </x:c>
      <x:c r="H67" s="41" t="str">
        <x:v>L'élève sera capable de compléter une figure par symétrie sur quadrillage</x:v>
      </x:c>
      <x:c r="I67" s="41" t="str">
        <x:v>Points correspondants équidistants de l’axe</x:v>
      </x:c>
      <x:c r="J67" s="41" t="str">
        <x:v>ACCÈS : axes de symétrie P5</x:v>
      </x:c>
      <x:c r="K67" s="41" t="str">
        <x:v>À programmer</x:v>
      </x:c>
      <x:c r="L67" s="31" t="str"/>
    </x:row>
    <x:row r="68" ht="72" customHeight="1">
      <x:c r="A68" s="30" t="str">
        <x:v>CM1-MAT-GEO-04</x:v>
      </x:c>
      <x:c r="B68" s="41" t="str">
        <x:v>CM1</x:v>
      </x:c>
      <x:c r="C68" s="41" t="str">
        <x:v>Mathématiques</x:v>
      </x:c>
      <x:c r="D68" s="41" t="str">
        <x:v>Solides</x:v>
      </x:c>
      <x:c r="E68" s="41" t="str">
        <x:v>P1</x:v>
      </x:c>
      <x:c r="F68" s="41" t="str">
        <x:v>P1-P5</x:v>
      </x:c>
      <x:c r="G68" s="41" t="str">
        <x:v>Reconnaître et décrire des solides</x:v>
      </x:c>
      <x:c r="H68" s="41" t="str">
        <x:v>L'élève sera capable de identifier faces, arêtes et sommets de solides usuels</x:v>
      </x:c>
      <x:c r="I68" s="41" t="str">
        <x:v>Description exacte d’au moins 4 solides sur 5</x:v>
      </x:c>
      <x:c r="J68" s="41" t="str">
        <x:v>ACCÈS : solides P1 et P5</x:v>
      </x:c>
      <x:c r="K68" s="41" t="str">
        <x:v>À programmer</x:v>
      </x:c>
      <x:c r="L68" s="31" t="str"/>
    </x:row>
    <x:row r="69" ht="72" customHeight="1">
      <x:c r="A69" s="30" t="str">
        <x:v>CM1-MAT-ESP-01</x:v>
      </x:c>
      <x:c r="B69" s="41" t="str">
        <x:v>CM1</x:v>
      </x:c>
      <x:c r="C69" s="41" t="str">
        <x:v>Mathématiques</x:v>
      </x:c>
      <x:c r="D69" s="41" t="str">
        <x:v>Repérage dans l’espace</x:v>
      </x:c>
      <x:c r="E69" s="41" t="str">
        <x:v>P3</x:v>
      </x:c>
      <x:c r="F69" s="41" t="str">
        <x:v>P3-P5</x:v>
      </x:c>
      <x:c r="G69" s="41" t="str">
        <x:v>Se repérer et décrire un déplacement</x:v>
      </x:c>
      <x:c r="H69" s="41" t="str">
        <x:v>L'élève sera capable de coder, exécuter et corriger un déplacement sur plan ou quadrillage</x:v>
      </x:c>
      <x:c r="I69" s="41" t="str">
        <x:v>Destination atteinte et instructions non ambiguës</x:v>
      </x:c>
      <x:c r="J69" s="41" t="str">
        <x:v>Complément BO à ACCÈS</x:v>
      </x:c>
      <x:c r="K69" s="41" t="str">
        <x:v>À programmer</x:v>
      </x:c>
      <x:c r="L69" s="31" t="str"/>
    </x:row>
    <x:row r="70" ht="72" customHeight="1">
      <x:c r="A70" s="30" t="str">
        <x:v>CM1-MAT-DON-01</x:v>
      </x:c>
      <x:c r="B70" s="41" t="str">
        <x:v>CM1</x:v>
      </x:c>
      <x:c r="C70" s="41" t="str">
        <x:v>Mathématiques</x:v>
      </x:c>
      <x:c r="D70" s="41" t="str">
        <x:v>Données</x:v>
      </x:c>
      <x:c r="E70" s="41" t="str">
        <x:v>P1</x:v>
      </x:c>
      <x:c r="F70" s="41" t="str">
        <x:v>P1-P5</x:v>
      </x:c>
      <x:c r="G70" s="41" t="str">
        <x:v>Organiser et représenter des données</x:v>
      </x:c>
      <x:c r="H70" s="41" t="str">
        <x:v>L'élève sera capable de recueillir des données et construire un tableau ou un diagramme en barres</x:v>
      </x:c>
      <x:c r="I70" s="41" t="str">
        <x:v>Titre, catégories, valeurs et échelle corrects</x:v>
      </x:c>
      <x:c r="J70" s="41" t="str">
        <x:v>Complément BO à ACCÈS</x:v>
      </x:c>
      <x:c r="K70" s="41" t="str">
        <x:v>À programmer</x:v>
      </x:c>
      <x:c r="L70" s="31" t="str"/>
    </x:row>
    <x:row r="71" ht="72" customHeight="1">
      <x:c r="A71" s="30" t="str">
        <x:v>CM1-MAT-DON-02</x:v>
      </x:c>
      <x:c r="B71" s="41" t="str">
        <x:v>CM1</x:v>
      </x:c>
      <x:c r="C71" s="41" t="str">
        <x:v>Mathématiques</x:v>
      </x:c>
      <x:c r="D71" s="41" t="str">
        <x:v>Données</x:v>
      </x:c>
      <x:c r="E71" s="41" t="str">
        <x:v>P2</x:v>
      </x:c>
      <x:c r="F71" s="41" t="str">
        <x:v>P2-P5</x:v>
      </x:c>
      <x:c r="G71" s="41" t="str">
        <x:v>Lire et interpréter des données</x:v>
      </x:c>
      <x:c r="H71" s="41" t="str">
        <x:v>L'élève sera capable de répondre à une question à partir d’un tableau, diagramme ou courbe</x:v>
      </x:c>
      <x:c r="I71" s="41" t="str">
        <x:v>Donnée correctement prélevée et calcul pertinent</x:v>
      </x:c>
      <x:c r="J71" s="41" t="str">
        <x:v>ACCÈS problèmes + complément BO</x:v>
      </x:c>
      <x:c r="K71" s="41" t="str">
        <x:v>À programmer</x:v>
      </x:c>
      <x:c r="L71" s="31" t="str"/>
    </x:row>
    <x:row r="72" ht="72" customHeight="1">
      <x:c r="A72" s="30" t="str">
        <x:v>CM1-MAT-PROBA-01</x:v>
      </x:c>
      <x:c r="B72" s="41" t="str">
        <x:v>CM1</x:v>
      </x:c>
      <x:c r="C72" s="41" t="str">
        <x:v>Mathématiques</x:v>
      </x:c>
      <x:c r="D72" s="41" t="str">
        <x:v>Probabilités</x:v>
      </x:c>
      <x:c r="E72" s="41" t="str">
        <x:v>P4</x:v>
      </x:c>
      <x:c r="F72" s="41" t="str">
        <x:v>P4-P5</x:v>
      </x:c>
      <x:c r="G72" s="41" t="str">
        <x:v>Décrire un événement aléatoire</x:v>
      </x:c>
      <x:c r="H72" s="41" t="str">
        <x:v>L'élève sera capable de distinguer événement certain, impossible ou possible</x:v>
      </x:c>
      <x:c r="I72" s="41" t="str">
        <x:v>Classement correct et justification dans 4 cas sur 5</x:v>
      </x:c>
      <x:c r="J72" s="41" t="str">
        <x:v>ACCÈS : Probabilités P4-P5</x:v>
      </x:c>
      <x:c r="K72" s="41" t="str">
        <x:v>À programmer</x:v>
      </x:c>
      <x:c r="L72" s="31" t="str"/>
    </x:row>
    <x:row r="73" ht="72" customHeight="1">
      <x:c r="A73" s="30" t="str">
        <x:v>CM1-MAT-PROBA-02</x:v>
      </x:c>
      <x:c r="B73" s="41" t="str">
        <x:v>CM1</x:v>
      </x:c>
      <x:c r="C73" s="41" t="str">
        <x:v>Mathématiques</x:v>
      </x:c>
      <x:c r="D73" s="41" t="str">
        <x:v>Probabilités</x:v>
      </x:c>
      <x:c r="E73" s="41" t="str">
        <x:v>P4</x:v>
      </x:c>
      <x:c r="F73" s="41" t="str">
        <x:v>P4-P5</x:v>
      </x:c>
      <x:c r="G73" s="41" t="str">
        <x:v>Comparer des probabilités</x:v>
      </x:c>
      <x:c r="H73" s="41" t="str">
        <x:v>L'élève sera capable de comparer qualitativement les chances de deux événements</x:v>
      </x:c>
      <x:c r="I73" s="41" t="str">
        <x:v>Événement le plus probable identifié et justifié</x:v>
      </x:c>
      <x:c r="J73" s="41" t="str">
        <x:v>ACCÈS : Probabilités P4-P5</x:v>
      </x:c>
      <x:c r="K73" s="41" t="str">
        <x:v>À programmer</x:v>
      </x:c>
      <x:c r="L73" s="31" t="str"/>
    </x:row>
    <x:row r="74" ht="72" customHeight="1">
      <x:c r="A74" s="30" t="str">
        <x:v>CM1-MAT-INF-01</x:v>
      </x:c>
      <x:c r="B74" s="41" t="str">
        <x:v>CM1</x:v>
      </x:c>
      <x:c r="C74" s="41" t="str">
        <x:v>Mathématiques</x:v>
      </x:c>
      <x:c r="D74" s="41" t="str">
        <x:v>Pensée informatique</x:v>
      </x:c>
      <x:c r="E74" s="41" t="str">
        <x:v>P5</x:v>
      </x:c>
      <x:c r="F74" s="41" t="str">
        <x:v>P5</x:v>
      </x:c>
      <x:c r="G74" s="41" t="str">
        <x:v>Comprendre et produire un algorithme simple</x:v>
      </x:c>
      <x:c r="H74" s="41" t="str">
        <x:v>L'élève sera capable de écrire, exécuter et corriger une suite finie d’instructions</x:v>
      </x:c>
      <x:c r="I74" s="41" t="str">
        <x:v>Algorithme mène au résultat et erreur éventuelle corrigée</x:v>
      </x:c>
      <x:c r="J74" s="41" t="str">
        <x:v>Complément BO à ACCÈS</x:v>
      </x:c>
      <x:c r="K74" s="41" t="str">
        <x:v>À programmer</x:v>
      </x:c>
      <x:c r="L74" s="31" t="str"/>
    </x:row>
    <x:row r="75" ht="72" customHeight="1">
      <x:c r="A75" s="30" t="str">
        <x:v>CM1-HIS-MET-01</x:v>
      </x:c>
      <x:c r="B75" s="41" t="str">
        <x:v>CM1</x:v>
      </x:c>
      <x:c r="C75" s="41" t="str">
        <x:v>Histoire</x:v>
      </x:c>
      <x:c r="D75" s="41" t="str">
        <x:v>Méthodes</x:v>
      </x:c>
      <x:c r="E75" s="41" t="str">
        <x:v>P1</x:v>
      </x:c>
      <x:c r="F75" s="41" t="str">
        <x:v>P1-P5</x:v>
      </x:c>
      <x:c r="G75" s="41" t="str">
        <x:v>Se repérer dans le temps</x:v>
      </x:c>
      <x:c r="H75" s="41" t="str">
        <x:v>L'élève sera capable de ordonner des événements et les situer sur une frise</x:v>
      </x:c>
      <x:c r="I75" s="41" t="str">
        <x:v>Événements placés dans l’ordre avec dates ou siècles corrects</x:v>
      </x:c>
      <x:c r="J75" s="41" t="str">
        <x:v>BO histoire-géographie 2026</x:v>
      </x:c>
      <x:c r="K75" s="41" t="str">
        <x:v>À programmer</x:v>
      </x:c>
      <x:c r="L75" s="31" t="str"/>
    </x:row>
    <x:row r="76" ht="72" customHeight="1">
      <x:c r="A76" s="30" t="str">
        <x:v>CM1-HIS-MET-02</x:v>
      </x:c>
      <x:c r="B76" s="41" t="str">
        <x:v>CM1</x:v>
      </x:c>
      <x:c r="C76" s="41" t="str">
        <x:v>Histoire</x:v>
      </x:c>
      <x:c r="D76" s="41" t="str">
        <x:v>Méthodes</x:v>
      </x:c>
      <x:c r="E76" s="41" t="str">
        <x:v>P1</x:v>
      </x:c>
      <x:c r="F76" s="41" t="str">
        <x:v>P1-P5</x:v>
      </x:c>
      <x:c r="G76" s="41" t="str">
        <x:v>Questionner des traces du passé</x:v>
      </x:c>
      <x:c r="H76" s="41" t="str">
        <x:v>L'élève sera capable de identifier nature, auteur, date et information principale d’une source</x:v>
      </x:c>
      <x:c r="I76" s="41" t="str">
        <x:v>Fiche-source complète et distinction fait/interprétation</x:v>
      </x:c>
      <x:c r="J76" s="41" t="str">
        <x:v>BO histoire-géographie 2026</x:v>
      </x:c>
      <x:c r="K76" s="41" t="str">
        <x:v>À programmer</x:v>
      </x:c>
      <x:c r="L76" s="31" t="str"/>
    </x:row>
    <x:row r="77" ht="72" customHeight="1">
      <x:c r="A77" s="30" t="str">
        <x:v>CM1-HIS-01</x:v>
      </x:c>
      <x:c r="B77" s="41" t="str">
        <x:v>CM1</x:v>
      </x:c>
      <x:c r="C77" s="41" t="str">
        <x:v>Histoire</x:v>
      </x:c>
      <x:c r="D77" s="41" t="str">
        <x:v>Moyen Âge</x:v>
      </x:c>
      <x:c r="E77" s="41" t="str">
        <x:v>P1</x:v>
      </x:c>
      <x:c r="F77" s="41" t="str">
        <x:v>P1-P2</x:v>
      </x:c>
      <x:c r="G77" s="41" t="str">
        <x:v>Comprendre la vie quotidienne au Moyen Âge</x:v>
      </x:c>
      <x:c r="H77" s="41" t="str">
        <x:v>L'élève sera capable de décrire les conditions de vie de différents groupes entre XIe et XIIIe siècles</x:v>
      </x:c>
      <x:c r="I77" s="41" t="str">
        <x:v>Description illustrée par au moins deux sources</x:v>
      </x:c>
      <x:c r="J77" s="41" t="str">
        <x:v>Thème 1 CM1</x:v>
      </x:c>
      <x:c r="K77" s="41" t="str">
        <x:v>À programmer</x:v>
      </x:c>
      <x:c r="L77" s="31" t="str"/>
    </x:row>
    <x:row r="78" ht="72" customHeight="1">
      <x:c r="A78" s="30" t="str">
        <x:v>CM1-HIS-02</x:v>
      </x:c>
      <x:c r="B78" s="41" t="str">
        <x:v>CM1</x:v>
      </x:c>
      <x:c r="C78" s="41" t="str">
        <x:v>Histoire</x:v>
      </x:c>
      <x:c r="D78" s="41" t="str">
        <x:v>Monarchie</x:v>
      </x:c>
      <x:c r="E78" s="41" t="str">
        <x:v>P2</x:v>
      </x:c>
      <x:c r="F78" s="41" t="str">
        <x:v>P2-P3</x:v>
      </x:c>
      <x:c r="G78" s="41" t="str">
        <x:v>Comprendre la monarchie en France</x:v>
      </x:c>
      <x:c r="H78" s="41" t="str">
        <x:v>L'élève sera capable de expliquer comment le pouvoir royal s’affirme aux XVIe et XVIIe siècles</x:v>
      </x:c>
      <x:c r="I78" s="41" t="str">
        <x:v>Deux moyens d’affirmation du pouvoir correctement expliqués</x:v>
      </x:c>
      <x:c r="J78" s="41" t="str">
        <x:v>Thème 2 CM1</x:v>
      </x:c>
      <x:c r="K78" s="41" t="str">
        <x:v>À programmer</x:v>
      </x:c>
      <x:c r="L78" s="31" t="str"/>
    </x:row>
    <x:row r="79" ht="72" customHeight="1">
      <x:c r="A79" s="30" t="str">
        <x:v>CM1-HIS-03</x:v>
      </x:c>
      <x:c r="B79" s="41" t="str">
        <x:v>CM1</x:v>
      </x:c>
      <x:c r="C79" s="41" t="str">
        <x:v>Histoire</x:v>
      </x:c>
      <x:c r="D79" s="41" t="str">
        <x:v>Explorations</x:v>
      </x:c>
      <x:c r="E79" s="41" t="str">
        <x:v>P4</x:v>
      </x:c>
      <x:c r="F79" s="41" t="str">
        <x:v>P4</x:v>
      </x:c>
      <x:c r="G79" s="41" t="str">
        <x:v>Comprendre explorations et conquêtes européennes</x:v>
      </x:c>
      <x:c r="H79" s="41" t="str">
        <x:v>L'élève sera capable de localiser routes et expliquer motivations, échanges et violences</x:v>
      </x:c>
      <x:c r="I79" s="41" t="str">
        <x:v>Carte renseignée et conséquences présentées de façon nuancée</x:v>
      </x:c>
      <x:c r="J79" s="41" t="str">
        <x:v>Thème 3 CM1</x:v>
      </x:c>
      <x:c r="K79" s="41" t="str">
        <x:v>À programmer</x:v>
      </x:c>
      <x:c r="L79" s="31" t="str"/>
    </x:row>
    <x:row r="80" ht="72" customHeight="1">
      <x:c r="A80" s="30" t="str">
        <x:v>CM1-HIS-04</x:v>
      </x:c>
      <x:c r="B80" s="41" t="str">
        <x:v>CM1</x:v>
      </x:c>
      <x:c r="C80" s="41" t="str">
        <x:v>Histoire</x:v>
      </x:c>
      <x:c r="D80" s="41" t="str">
        <x:v>Révolution française</x:v>
      </x:c>
      <x:c r="E80" s="41" t="str">
        <x:v>P5</x:v>
      </x:c>
      <x:c r="F80" s="41" t="str">
        <x:v>P5</x:v>
      </x:c>
      <x:c r="G80" s="41" t="str">
        <x:v>Comprendre l’année 1789</x:v>
      </x:c>
      <x:c r="H80" s="41" t="str">
        <x:v>L'élève sera capable de ordonner les événements majeurs et expliquer la rupture politique</x:v>
      </x:c>
      <x:c r="I80" s="41" t="str">
        <x:v>Frise correcte et notion de souveraineté nationale reformulée</x:v>
      </x:c>
      <x:c r="J80" s="41" t="str">
        <x:v>Thème 4 CM1</x:v>
      </x:c>
      <x:c r="K80" s="41" t="str">
        <x:v>À programmer</x:v>
      </x:c>
      <x:c r="L80" s="31" t="str"/>
    </x:row>
    <x:row r="81" ht="72" customHeight="1">
      <x:c r="A81" s="30" t="str">
        <x:v>CM1-GEO-MET-01</x:v>
      </x:c>
      <x:c r="B81" s="41" t="str">
        <x:v>CM1</x:v>
      </x:c>
      <x:c r="C81" s="41" t="str">
        <x:v>Géographie</x:v>
      </x:c>
      <x:c r="D81" s="41" t="str">
        <x:v>Méthodes</x:v>
      </x:c>
      <x:c r="E81" s="41" t="str">
        <x:v>P1</x:v>
      </x:c>
      <x:c r="F81" s="41" t="str">
        <x:v>P1-P5</x:v>
      </x:c>
      <x:c r="G81" s="41" t="str">
        <x:v>Se repérer dans l’espace</x:v>
      </x:c>
      <x:c r="H81" s="41" t="str">
        <x:v>L'élève sera capable de localiser un lieu à différentes échelles et utiliser légende et orientation</x:v>
      </x:c>
      <x:c r="I81" s="41" t="str">
        <x:v>Lieu correctement situé sur trois cartes emboîtées</x:v>
      </x:c>
      <x:c r="J81" s="41" t="str">
        <x:v>BO histoire-géographie 2026</x:v>
      </x:c>
      <x:c r="K81" s="41" t="str">
        <x:v>À programmer</x:v>
      </x:c>
      <x:c r="L81" s="31" t="str"/>
    </x:row>
    <x:row r="82" ht="72" customHeight="1">
      <x:c r="A82" s="30" t="str">
        <x:v>CM1-GEO-01</x:v>
      </x:c>
      <x:c r="B82" s="41" t="str">
        <x:v>CM1</x:v>
      </x:c>
      <x:c r="C82" s="41" t="str">
        <x:v>Géographie</x:v>
      </x:c>
      <x:c r="D82" s="41" t="str">
        <x:v>Se nourrir</x:v>
      </x:c>
      <x:c r="E82" s="41" t="str">
        <x:v>P1</x:v>
      </x:c>
      <x:c r="F82" s="41" t="str">
        <x:v>P1-P2</x:v>
      </x:c>
      <x:c r="G82" s="41" t="str">
        <x:v>Comprendre les manières de se nourrir</x:v>
      </x:c>
      <x:c r="H82" s="41" t="str">
        <x:v>L'élève sera capable de décrire le parcours d’un produit de la production à la consommation</x:v>
      </x:c>
      <x:c r="I82" s="41" t="str">
        <x:v>Étapes, lieux et acteurs correctement ordonnés</x:v>
      </x:c>
      <x:c r="J82" s="41" t="str">
        <x:v>Thème 1 CM1</x:v>
      </x:c>
      <x:c r="K82" s="41" t="str">
        <x:v>À programmer</x:v>
      </x:c>
      <x:c r="L82" s="31" t="str"/>
    </x:row>
    <x:row r="83" ht="72" customHeight="1">
      <x:c r="A83" s="30" t="str">
        <x:v>CM1-GEO-02</x:v>
      </x:c>
      <x:c r="B83" s="41" t="str">
        <x:v>CM1</x:v>
      </x:c>
      <x:c r="C83" s="41" t="str">
        <x:v>Géographie</x:v>
      </x:c>
      <x:c r="D83" s="41" t="str">
        <x:v>Se nourrir</x:v>
      </x:c>
      <x:c r="E83" s="41" t="str">
        <x:v>P2</x:v>
      </x:c>
      <x:c r="F83" s="41" t="str">
        <x:v>P2</x:v>
      </x:c>
      <x:c r="G83" s="41" t="str">
        <x:v>Comparer des systèmes alimentaires</x:v>
      </x:c>
      <x:c r="H83" s="41" t="str">
        <x:v>L'élève sera capable de comparer deux territoires et leurs pratiques alimentaires</x:v>
      </x:c>
      <x:c r="I83" s="41" t="str">
        <x:v>Deux ressemblances et deux différences justifiées</x:v>
      </x:c>
      <x:c r="J83" s="41" t="str">
        <x:v>Thème 1 CM1</x:v>
      </x:c>
      <x:c r="K83" s="41" t="str">
        <x:v>À programmer</x:v>
      </x:c>
      <x:c r="L83" s="31" t="str"/>
    </x:row>
    <x:row r="84" ht="72" customHeight="1">
      <x:c r="A84" s="30" t="str">
        <x:v>CM1-GEO-03</x:v>
      </x:c>
      <x:c r="B84" s="41" t="str">
        <x:v>CM1</x:v>
      </x:c>
      <x:c r="C84" s="41" t="str">
        <x:v>Géographie</x:v>
      </x:c>
      <x:c r="D84" s="41" t="str">
        <x:v>Inégalités</x:v>
      </x:c>
      <x:c r="E84" s="41" t="str">
        <x:v>P3</x:v>
      </x:c>
      <x:c r="F84" s="41" t="str">
        <x:v>P3</x:v>
      </x:c>
      <x:c r="G84" s="41" t="str">
        <x:v>Comprendre les inégalités dans le monde</x:v>
      </x:c>
      <x:c r="H84" s="41" t="str">
        <x:v>L'élève sera capable de interpréter cartes et indicateurs simples sur l’accès à un besoin essentiel</x:v>
      </x:c>
      <x:c r="I84" s="41" t="str">
        <x:v>Conclusion fidèle aux données et vocabulaire adapté</x:v>
      </x:c>
      <x:c r="J84" s="41" t="str">
        <x:v>Thème 2 CM1</x:v>
      </x:c>
      <x:c r="K84" s="41" t="str">
        <x:v>À programmer</x:v>
      </x:c>
      <x:c r="L84" s="31" t="str"/>
    </x:row>
    <x:row r="85" ht="72" customHeight="1">
      <x:c r="A85" s="30" t="str">
        <x:v>CM1-GEO-04</x:v>
      </x:c>
      <x:c r="B85" s="41" t="str">
        <x:v>CM1</x:v>
      </x:c>
      <x:c r="C85" s="41" t="str">
        <x:v>Géographie</x:v>
      </x:c>
      <x:c r="D85" s="41" t="str">
        <x:v>Mobilités</x:v>
      </x:c>
      <x:c r="E85" s="41" t="str">
        <x:v>P4</x:v>
      </x:c>
      <x:c r="F85" s="41" t="str">
        <x:v>P4</x:v>
      </x:c>
      <x:c r="G85" s="41" t="str">
        <x:v>Comprendre les déplacements</x:v>
      </x:c>
      <x:c r="H85" s="41" t="str">
        <x:v>L'élève sera capable de comparer des modes de déplacement selon distance, coût et impact</x:v>
      </x:c>
      <x:c r="I85" s="41" t="str">
        <x:v>Choix argumenté à partir d’au moins trois critères</x:v>
      </x:c>
      <x:c r="J85" s="41" t="str">
        <x:v>Thème 3 CM1</x:v>
      </x:c>
      <x:c r="K85" s="41" t="str">
        <x:v>À programmer</x:v>
      </x:c>
      <x:c r="L85" s="31" t="str"/>
    </x:row>
    <x:row r="86" ht="72" customHeight="1">
      <x:c r="A86" s="30" t="str">
        <x:v>CM1-GEO-05</x:v>
      </x:c>
      <x:c r="B86" s="41" t="str">
        <x:v>CM1</x:v>
      </x:c>
      <x:c r="C86" s="41" t="str">
        <x:v>Géographie</x:v>
      </x:c>
      <x:c r="D86" s="41" t="str">
        <x:v>Internet</x:v>
      </x:c>
      <x:c r="E86" s="41" t="str">
        <x:v>P5</x:v>
      </x:c>
      <x:c r="F86" s="41" t="str">
        <x:v>P5</x:v>
      </x:c>
      <x:c r="G86" s="41" t="str">
        <x:v>Comprendre la communication par Internet</x:v>
      </x:c>
      <x:c r="H86" s="41" t="str">
        <x:v>L'élève sera capable de décrire le trajet matériel d’une information et les inégalités d’accès</x:v>
      </x:c>
      <x:c r="I86" s="41" t="str">
        <x:v>Schéma simple juste et deux enjeux identifiés</x:v>
      </x:c>
      <x:c r="J86" s="41" t="str">
        <x:v>Thème 4 CM1</x:v>
      </x:c>
      <x:c r="K86" s="41" t="str">
        <x:v>À programmer</x:v>
      </x:c>
      <x:c r="L86" s="31" t="str"/>
    </x:row>
    <x:row r="87" ht="72" customHeight="1">
      <x:c r="A87" s="30" t="str">
        <x:v>CM1-SCI-DEM-01</x:v>
      </x:c>
      <x:c r="B87" s="41" t="str">
        <x:v>CM1</x:v>
      </x:c>
      <x:c r="C87" s="41" t="str">
        <x:v>Sciences et technologie</x:v>
      </x:c>
      <x:c r="D87" s="41" t="str">
        <x:v>Démarche scientifique</x:v>
      </x:c>
      <x:c r="E87" s="41" t="str">
        <x:v>P1</x:v>
      </x:c>
      <x:c r="F87" s="41" t="str">
        <x:v>P1-P5</x:v>
      </x:c>
      <x:c r="G87" s="41" t="str">
        <x:v>Pratiquer une démarche scientifique</x:v>
      </x:c>
      <x:c r="H87" s="41" t="str">
        <x:v>L'élève sera capable de formuler une question, proposer une hypothèse et concevoir un test</x:v>
      </x:c>
      <x:c r="I87" s="41" t="str">
        <x:v>Protocole réalisable avec variable observée et résultat consigné</x:v>
      </x:c>
      <x:c r="J87" s="41" t="str">
        <x:v>BO sciences et technologie 2026</x:v>
      </x:c>
      <x:c r="K87" s="41" t="str">
        <x:v>À programmer</x:v>
      </x:c>
      <x:c r="L87" s="31" t="str"/>
    </x:row>
    <x:row r="88" ht="72" customHeight="1">
      <x:c r="A88" s="30" t="str">
        <x:v>CM1-SCI-DEM-02</x:v>
      </x:c>
      <x:c r="B88" s="41" t="str">
        <x:v>CM1</x:v>
      </x:c>
      <x:c r="C88" s="41" t="str">
        <x:v>Sciences et technologie</x:v>
      </x:c>
      <x:c r="D88" s="41" t="str">
        <x:v>Communication scientifique</x:v>
      </x:c>
      <x:c r="E88" s="41" t="str">
        <x:v>P1</x:v>
      </x:c>
      <x:c r="F88" s="41" t="str">
        <x:v>P1-P5</x:v>
      </x:c>
      <x:c r="G88" s="41" t="str">
        <x:v>Communiquer des résultats</x:v>
      </x:c>
      <x:c r="H88" s="41" t="str">
        <x:v>L'élève sera capable de présenter observations et conclusion par texte, tableau, dessin ou graphique</x:v>
      </x:c>
      <x:c r="I88" s="41" t="str">
        <x:v>Trace légendée et conclusion reliée aux résultats</x:v>
      </x:c>
      <x:c r="J88" s="41" t="str">
        <x:v>BO sciences et technologie 2026</x:v>
      </x:c>
      <x:c r="K88" s="41" t="str">
        <x:v>À programmer</x:v>
      </x:c>
      <x:c r="L88" s="31" t="str"/>
    </x:row>
    <x:row r="89" ht="72" customHeight="1">
      <x:c r="A89" s="30" t="str">
        <x:v>CM1-SCI-MAT-01</x:v>
      </x:c>
      <x:c r="B89" s="41" t="str">
        <x:v>CM1</x:v>
      </x:c>
      <x:c r="C89" s="41" t="str">
        <x:v>Sciences et technologie</x:v>
      </x:c>
      <x:c r="D89" s="41" t="str">
        <x:v>Matière</x:v>
      </x:c>
      <x:c r="E89" s="41" t="str">
        <x:v>P1</x:v>
      </x:c>
      <x:c r="F89" s="41" t="str">
        <x:v>P1</x:v>
      </x:c>
      <x:c r="G89" s="41" t="str">
        <x:v>Identifier états et transformations de la matière</x:v>
      </x:c>
      <x:c r="H89" s="41" t="str">
        <x:v>L'élève sera capable de distinguer solide, liquide et gaz et décrire un changement d’état</x:v>
      </x:c>
      <x:c r="I89" s="41" t="str">
        <x:v>État et transformation correctement nommés dans 4 cas sur 5</x:v>
      </x:c>
      <x:c r="J89" s="41" t="str">
        <x:v>Matière - CM1</x:v>
      </x:c>
      <x:c r="K89" s="41" t="str">
        <x:v>À programmer</x:v>
      </x:c>
      <x:c r="L89" s="31" t="str"/>
    </x:row>
    <x:row r="90" ht="72" customHeight="1">
      <x:c r="A90" s="30" t="str">
        <x:v>CM1-SCI-MAT-02</x:v>
      </x:c>
      <x:c r="B90" s="41" t="str">
        <x:v>CM1</x:v>
      </x:c>
      <x:c r="C90" s="41" t="str">
        <x:v>Sciences et technologie</x:v>
      </x:c>
      <x:c r="D90" s="41" t="str">
        <x:v>Matière</x:v>
      </x:c>
      <x:c r="E90" s="41" t="str">
        <x:v>P1</x:v>
      </x:c>
      <x:c r="F90" s="41" t="str">
        <x:v>P1-P2</x:v>
      </x:c>
      <x:c r="G90" s="41" t="str">
        <x:v>Étudier des mélanges</x:v>
      </x:c>
      <x:c r="H90" s="41" t="str">
        <x:v>L'élève sera capable de séparer les constituants d’un mélange simple par une technique adaptée</x:v>
      </x:c>
      <x:c r="I90" s="41" t="str">
        <x:v>Technique choisie, mise en œuvre et justifiée</x:v>
      </x:c>
      <x:c r="J90" s="41" t="str">
        <x:v>Matière - CM1</x:v>
      </x:c>
      <x:c r="K90" s="41" t="str">
        <x:v>À programmer</x:v>
      </x:c>
      <x:c r="L90" s="31" t="str"/>
    </x:row>
    <x:row r="91" ht="72" customHeight="1">
      <x:c r="A91" s="30" t="str">
        <x:v>CM1-SCI-MOU-01</x:v>
      </x:c>
      <x:c r="B91" s="41" t="str">
        <x:v>CM1</x:v>
      </x:c>
      <x:c r="C91" s="41" t="str">
        <x:v>Sciences et technologie</x:v>
      </x:c>
      <x:c r="D91" s="41" t="str">
        <x:v>Mouvements</x:v>
      </x:c>
      <x:c r="E91" s="41" t="str">
        <x:v>P2</x:v>
      </x:c>
      <x:c r="F91" s="41" t="str">
        <x:v>P2</x:v>
      </x:c>
      <x:c r="G91" s="41" t="str">
        <x:v>Décrire un mouvement</x:v>
      </x:c>
      <x:c r="H91" s="41" t="str">
        <x:v>L'élève sera capable de décrire trajectoire et évolution de la vitesse relativement à un repère</x:v>
      </x:c>
      <x:c r="I91" s="41" t="str">
        <x:v>Vocabulaire exact et représentation cohérente</x:v>
      </x:c>
      <x:c r="J91" s="41" t="str">
        <x:v>Mouvements - CM1</x:v>
      </x:c>
      <x:c r="K91" s="41" t="str">
        <x:v>À programmer</x:v>
      </x:c>
      <x:c r="L91" s="31" t="str"/>
    </x:row>
    <x:row r="92" ht="72" customHeight="1">
      <x:c r="A92" s="30" t="str">
        <x:v>CM1-SCI-SIG-01</x:v>
      </x:c>
      <x:c r="B92" s="41" t="str">
        <x:v>CM1</x:v>
      </x:c>
      <x:c r="C92" s="41" t="str">
        <x:v>Sciences et technologie</x:v>
      </x:c>
      <x:c r="D92" s="41" t="str">
        <x:v>Signaux</x:v>
      </x:c>
      <x:c r="E92" s="41" t="str">
        <x:v>P2</x:v>
      </x:c>
      <x:c r="F92" s="41" t="str">
        <x:v>P2</x:v>
      </x:c>
      <x:c r="G92" s="41" t="str">
        <x:v>Identifier des signaux</x:v>
      </x:c>
      <x:c r="H92" s="41" t="str">
        <x:v>L'élève sera capable de associer signal sonore, lumineux ou autre à une information et un usage</x:v>
      </x:c>
      <x:c r="I92" s="41" t="str">
        <x:v>Signal, émetteur, récepteur et information identifiés</x:v>
      </x:c>
      <x:c r="J92" s="41" t="str">
        <x:v>Signaux - CM1</x:v>
      </x:c>
      <x:c r="K92" s="41" t="str">
        <x:v>À programmer</x:v>
      </x:c>
      <x:c r="L92" s="31" t="str"/>
    </x:row>
    <x:row r="93" ht="72" customHeight="1">
      <x:c r="A93" s="30" t="str">
        <x:v>CM1-SCI-VIV-01</x:v>
      </x:c>
      <x:c r="B93" s="41" t="str">
        <x:v>CM1</x:v>
      </x:c>
      <x:c r="C93" s="41" t="str">
        <x:v>Sciences et technologie</x:v>
      </x:c>
      <x:c r="D93" s="41" t="str">
        <x:v>Vivant</x:v>
      </x:c>
      <x:c r="E93" s="41" t="str">
        <x:v>P3</x:v>
      </x:c>
      <x:c r="F93" s="41" t="str">
        <x:v>P3</x:v>
      </x:c>
      <x:c r="G93" s="41" t="str">
        <x:v>Reconnaître unité et diversité du vivant</x:v>
      </x:c>
      <x:c r="H93" s="41" t="str">
        <x:v>L'élève sera capable de classer des êtres vivants selon des caractères partagés</x:v>
      </x:c>
      <x:c r="I93" s="41" t="str">
        <x:v>Groupes emboîtés cohérents et caractères explicités</x:v>
      </x:c>
      <x:c r="J93" s="41" t="str">
        <x:v>Êtres vivants - CM1</x:v>
      </x:c>
      <x:c r="K93" s="41" t="str">
        <x:v>À programmer</x:v>
      </x:c>
      <x:c r="L93" s="31" t="str"/>
    </x:row>
    <x:row r="94" ht="72" customHeight="1">
      <x:c r="A94" s="30" t="str">
        <x:v>CM1-SCI-VIV-02</x:v>
      </x:c>
      <x:c r="B94" s="41" t="str">
        <x:v>CM1</x:v>
      </x:c>
      <x:c r="C94" s="41" t="str">
        <x:v>Sciences et technologie</x:v>
      </x:c>
      <x:c r="D94" s="41" t="str">
        <x:v>Vivant</x:v>
      </x:c>
      <x:c r="E94" s="41" t="str">
        <x:v>P3</x:v>
      </x:c>
      <x:c r="F94" s="41" t="str">
        <x:v>P3</x:v>
      </x:c>
      <x:c r="G94" s="41" t="str">
        <x:v>Comprendre croissance et reproduction</x:v>
      </x:c>
      <x:c r="H94" s="41" t="str">
        <x:v>L'élève sera capable de décrire les étapes du développement d’un être vivant</x:v>
      </x:c>
      <x:c r="I94" s="41" t="str">
        <x:v>Cycle ordonné et conditions essentielles identifiées</x:v>
      </x:c>
      <x:c r="J94" s="41" t="str">
        <x:v>Êtres vivants - CM1</x:v>
      </x:c>
      <x:c r="K94" s="41" t="str">
        <x:v>À programmer</x:v>
      </x:c>
      <x:c r="L94" s="31" t="str"/>
    </x:row>
    <x:row r="95" ht="72" customHeight="1">
      <x:c r="A95" s="30" t="str">
        <x:v>CM1-SCI-TEC-01</x:v>
      </x:c>
      <x:c r="B95" s="41" t="str">
        <x:v>CM1</x:v>
      </x:c>
      <x:c r="C95" s="41" t="str">
        <x:v>Sciences et technologie</x:v>
      </x:c>
      <x:c r="D95" s="41" t="str">
        <x:v>Objets techniques</x:v>
      </x:c>
      <x:c r="E95" s="41" t="str">
        <x:v>P4</x:v>
      </x:c>
      <x:c r="F95" s="41" t="str">
        <x:v>P4</x:v>
      </x:c>
      <x:c r="G95" s="41" t="str">
        <x:v>Analyser un objet technique</x:v>
      </x:c>
      <x:c r="H95" s="41" t="str">
        <x:v>L'élève sera capable de relier besoin, fonction d’usage et solution technique</x:v>
      </x:c>
      <x:c r="I95" s="41" t="str">
        <x:v>Fonction et solution correctement distinguées</x:v>
      </x:c>
      <x:c r="J95" s="41" t="str">
        <x:v>Objets techniques - CM1</x:v>
      </x:c>
      <x:c r="K95" s="41" t="str">
        <x:v>À programmer</x:v>
      </x:c>
      <x:c r="L95" s="31" t="str"/>
    </x:row>
    <x:row r="96" ht="72" customHeight="1">
      <x:c r="A96" s="30" t="str">
        <x:v>CM1-SCI-TEC-02</x:v>
      </x:c>
      <x:c r="B96" s="41" t="str">
        <x:v>CM1</x:v>
      </x:c>
      <x:c r="C96" s="41" t="str">
        <x:v>Sciences et technologie</x:v>
      </x:c>
      <x:c r="D96" s="41" t="str">
        <x:v>Conception</x:v>
      </x:c>
      <x:c r="E96" s="41" t="str">
        <x:v>P4</x:v>
      </x:c>
      <x:c r="F96" s="41" t="str">
        <x:v>P4</x:v>
      </x:c>
      <x:c r="G96" s="41" t="str">
        <x:v>Concevoir et réaliser</x:v>
      </x:c>
      <x:c r="H96" s="41" t="str">
        <x:v>L'élève sera capable de produire, tester et améliorer un objet répondant à un cahier des charges simple</x:v>
      </x:c>
      <x:c r="I96" s="41" t="str">
        <x:v>Objet fonctionnel et amélioration justifiée après test</x:v>
      </x:c>
      <x:c r="J96" s="41" t="str">
        <x:v>Objets techniques - CM1</x:v>
      </x:c>
      <x:c r="K96" s="41" t="str">
        <x:v>À programmer</x:v>
      </x:c>
      <x:c r="L96" s="31" t="str"/>
    </x:row>
    <x:row r="97" ht="72" customHeight="1">
      <x:c r="A97" s="30" t="str">
        <x:v>CM1-SCI-ENV-01</x:v>
      </x:c>
      <x:c r="B97" s="41" t="str">
        <x:v>CM1</x:v>
      </x:c>
      <x:c r="C97" s="41" t="str">
        <x:v>Sciences et technologie</x:v>
      </x:c>
      <x:c r="D97" s="41" t="str">
        <x:v>Environnement</x:v>
      </x:c>
      <x:c r="E97" s="41" t="str">
        <x:v>P5</x:v>
      </x:c>
      <x:c r="F97" s="41" t="str">
        <x:v>P5</x:v>
      </x:c>
      <x:c r="G97" s="41" t="str">
        <x:v>Comprendre les interactions dans un milieu</x:v>
      </x:c>
      <x:c r="H97" s="41" t="str">
        <x:v>L'élève sera capable de construire une chaîne alimentaire et expliquer une interaction</x:v>
      </x:c>
      <x:c r="I97" s="41" t="str">
        <x:v>Flèches et relations correctement interprétées</x:v>
      </x:c>
      <x:c r="J97" s="41" t="str">
        <x:v>Environnement - CM1</x:v>
      </x:c>
      <x:c r="K97" s="41" t="str">
        <x:v>À programmer</x:v>
      </x:c>
      <x:c r="L97" s="31" t="str"/>
    </x:row>
    <x:row r="98" ht="72" customHeight="1">
      <x:c r="A98" s="30" t="str">
        <x:v>CM1-SCI-ENV-02</x:v>
      </x:c>
      <x:c r="B98" s="41" t="str">
        <x:v>CM1</x:v>
      </x:c>
      <x:c r="C98" s="41" t="str">
        <x:v>Sciences et technologie</x:v>
      </x:c>
      <x:c r="D98" s="41" t="str">
        <x:v>Environnement</x:v>
      </x:c>
      <x:c r="E98" s="41" t="str">
        <x:v>P5</x:v>
      </x:c>
      <x:c r="F98" s="41" t="str">
        <x:v>P5</x:v>
      </x:c>
      <x:c r="G98" s="41" t="str">
        <x:v>Agir de manière responsable</x:v>
      </x:c>
      <x:c r="H98" s="41" t="str">
        <x:v>L'élève sera capable de évaluer l’effet d’une action humaine et proposer une mesure réaliste</x:v>
      </x:c>
      <x:c r="I98" s="41" t="str">
        <x:v>Effet expliqué par des faits et action argumentée</x:v>
      </x:c>
      <x:c r="J98" s="41" t="str">
        <x:v>Environnement - CM1</x:v>
      </x:c>
      <x:c r="K98" s="41" t="str">
        <x:v>À programmer</x:v>
      </x:c>
      <x:c r="L98" s="31" t="str"/>
    </x:row>
    <x:row r="99" ht="72" customHeight="1">
      <x:c r="A99" s="30" t="str">
        <x:v>CM1-EMC-01</x:v>
      </x:c>
      <x:c r="B99" s="41" t="str">
        <x:v>CM1</x:v>
      </x:c>
      <x:c r="C99" s="41" t="str">
        <x:v>EMC</x:v>
      </x:c>
      <x:c r="D99" s="41" t="str">
        <x:v>Civisme et citoyenneté</x:v>
      </x:c>
      <x:c r="E99" s="41" t="str">
        <x:v>P1</x:v>
      </x:c>
      <x:c r="F99" s="41" t="str">
        <x:v>P1-P5</x:v>
      </x:c>
      <x:c r="G99" s="41" t="str">
        <x:v>Respecter les règles collectives</x:v>
      </x:c>
      <x:c r="H99" s="41" t="str">
        <x:v>L'élève sera capable de expliquer la finalité d’une règle et l’appliquer dans une situation réelle</x:v>
      </x:c>
      <x:c r="I99" s="41" t="str">
        <x:v>Règle reliée à la sécurité, au respect ou au travail collectif</x:v>
      </x:c>
      <x:c r="J99" s="41" t="str">
        <x:v>EMC CM1 - Faire société</x:v>
      </x:c>
      <x:c r="K99" s="41" t="str">
        <x:v>À programmer</x:v>
      </x:c>
      <x:c r="L99" s="31" t="str"/>
    </x:row>
    <x:row r="100" ht="72" customHeight="1">
      <x:c r="A100" s="30" t="str">
        <x:v>CM1-EMC-02</x:v>
      </x:c>
      <x:c r="B100" s="41" t="str">
        <x:v>CM1</x:v>
      </x:c>
      <x:c r="C100" s="41" t="str">
        <x:v>EMC</x:v>
      </x:c>
      <x:c r="D100" s="41" t="str">
        <x:v>Civisme et citoyenneté</x:v>
      </x:c>
      <x:c r="E100" s="41" t="str">
        <x:v>P1</x:v>
      </x:c>
      <x:c r="F100" s="41" t="str">
        <x:v>P1-P5</x:v>
      </x:c>
      <x:c r="G100" s="41" t="str">
        <x:v>Assumer une responsabilité</x:v>
      </x:c>
      <x:c r="H100" s="41" t="str">
        <x:v>L'élève sera capable de tenir un rôle collectif et rendre compte de son action</x:v>
      </x:c>
      <x:c r="I100" s="41" t="str">
        <x:v>Tâche réalisée avec autonomie et bilan sincère</x:v>
      </x:c>
      <x:c r="J100" s="41" t="str">
        <x:v>EMC CM1 - Faire société</x:v>
      </x:c>
      <x:c r="K100" s="41" t="str">
        <x:v>À programmer</x:v>
      </x:c>
      <x:c r="L100" s="31" t="str"/>
    </x:row>
    <x:row r="101" ht="72" customHeight="1">
      <x:c r="A101" s="30" t="str">
        <x:v>CM1-EMC-03</x:v>
      </x:c>
      <x:c r="B101" s="41" t="str">
        <x:v>CM1</x:v>
      </x:c>
      <x:c r="C101" s="41" t="str">
        <x:v>EMC</x:v>
      </x:c>
      <x:c r="D101" s="41" t="str">
        <x:v>Égalité et dignité</x:v>
      </x:c>
      <x:c r="E101" s="41" t="str">
        <x:v>P2</x:v>
      </x:c>
      <x:c r="F101" s="41" t="str">
        <x:v>P2-P5</x:v>
      </x:c>
      <x:c r="G101" s="41" t="str">
        <x:v>Reconnaître l’égale dignité</x:v>
      </x:c>
      <x:c r="H101" s="41" t="str">
        <x:v>L'élève sera capable de identifier une situation discriminatoire et expliquer pourquoi elle est contraire à l’égalité</x:v>
      </x:c>
      <x:c r="I101" s="41" t="str">
        <x:v>Principe mobilisé et réponse respectueuse proposée</x:v>
      </x:c>
      <x:c r="J101" s="41" t="str">
        <x:v>EMC CM1 - Faire société</x:v>
      </x:c>
      <x:c r="K101" s="41" t="str">
        <x:v>À programmer</x:v>
      </x:c>
      <x:c r="L101" s="31" t="str"/>
    </x:row>
    <x:row r="102" ht="72" customHeight="1">
      <x:c r="A102" s="30" t="str">
        <x:v>CM1-EMC-04</x:v>
      </x:c>
      <x:c r="B102" s="41" t="str">
        <x:v>CM1</x:v>
      </x:c>
      <x:c r="C102" s="41" t="str">
        <x:v>EMC</x:v>
      </x:c>
      <x:c r="D102" s="41" t="str">
        <x:v>Débat démocratique</x:v>
      </x:c>
      <x:c r="E102" s="41" t="str">
        <x:v>P3</x:v>
      </x:c>
      <x:c r="F102" s="41" t="str">
        <x:v>P3-P5</x:v>
      </x:c>
      <x:c r="G102" s="41" t="str">
        <x:v>Exprimer un jugement argumenté</x:v>
      </x:c>
      <x:c r="H102" s="41" t="str">
        <x:v>L'élève sera capable de formuler une opinion, donner une raison et écouter un désaccord</x:v>
      </x:c>
      <x:c r="I102" s="41" t="str">
        <x:v>Opinion et argument distingués, reformulation fidèle</x:v>
      </x:c>
      <x:c r="J102" s="41" t="str">
        <x:v>EMC CM1 - Faire société</x:v>
      </x:c>
      <x:c r="K102" s="41" t="str">
        <x:v>À programmer</x:v>
      </x:c>
      <x:c r="L102" s="31" t="str"/>
    </x:row>
    <x:row r="103" ht="72" customHeight="1">
      <x:c r="A103" s="30" t="str">
        <x:v>CM1-EMC-05</x:v>
      </x:c>
      <x:c r="B103" s="41" t="str">
        <x:v>CM1</x:v>
      </x:c>
      <x:c r="C103" s="41" t="str">
        <x:v>EMC</x:v>
      </x:c>
      <x:c r="D103" s="41" t="str">
        <x:v>Solidarité</x:v>
      </x:c>
      <x:c r="E103" s="41" t="str">
        <x:v>P4</x:v>
      </x:c>
      <x:c r="F103" s="41" t="str">
        <x:v>P4-P5</x:v>
      </x:c>
      <x:c r="G103" s="41" t="str">
        <x:v>Comprendre la fraternité et la solidarité</x:v>
      </x:c>
      <x:c r="H103" s="41" t="str">
        <x:v>L'élève sera capable de proposer et conduire une action simple au service du collectif</x:v>
      </x:c>
      <x:c r="I103" s="41" t="str">
        <x:v>Besoin identifié, action réalisable et bilan effectué</x:v>
      </x:c>
      <x:c r="J103" s="41" t="str">
        <x:v>EMC CM1 - Faire société</x:v>
      </x:c>
      <x:c r="K103" s="41" t="str">
        <x:v>À programmer</x:v>
      </x:c>
      <x:c r="L103" s="31" t="str"/>
    </x:row>
    <x:row r="104" ht="72" customHeight="1">
      <x:c r="A104" s="30" t="str">
        <x:v>CM1-EMC-06</x:v>
      </x:c>
      <x:c r="B104" s="41" t="str">
        <x:v>CM1</x:v>
      </x:c>
      <x:c r="C104" s="41" t="str">
        <x:v>EMC</x:v>
      </x:c>
      <x:c r="D104" s="41" t="str">
        <x:v>Citoyenneté numérique</x:v>
      </x:c>
      <x:c r="E104" s="41" t="str">
        <x:v>P5</x:v>
      </x:c>
      <x:c r="F104" s="41" t="str">
        <x:v>P5</x:v>
      </x:c>
      <x:c r="G104" s="41" t="str">
        <x:v>Agir de manière responsable en ligne</x:v>
      </x:c>
      <x:c r="H104" s="41" t="str">
        <x:v>L'élève sera capable de identifier un risque numérique et choisir une conduite protectrice</x:v>
      </x:c>
      <x:c r="I104" s="41" t="str">
        <x:v>Réaction adaptée concernant données, propos ou images</x:v>
      </x:c>
      <x:c r="J104" s="41" t="str">
        <x:v>EMC/EMI</x:v>
      </x:c>
      <x:c r="K104" s="41" t="str">
        <x:v>À programmer</x:v>
      </x:c>
      <x:c r="L104" s="31" t="str"/>
    </x:row>
    <x:row r="105" ht="72" customHeight="1">
      <x:c r="A105" s="30" t="str">
        <x:v>CM1-ANG-CO-01</x:v>
      </x:c>
      <x:c r="B105" s="41" t="str">
        <x:v>CM1</x:v>
      </x:c>
      <x:c r="C105" s="41" t="str">
        <x:v>Anglais</x:v>
      </x:c>
      <x:c r="D105" s="41" t="str">
        <x:v>Compréhension orale</x:v>
      </x:c>
      <x:c r="E105" s="41" t="str">
        <x:v>P1</x:v>
      </x:c>
      <x:c r="F105" s="41" t="str">
        <x:v>P1-P5</x:v>
      </x:c>
      <x:c r="G105" s="41" t="str">
        <x:v>Écouter et comprendre</x:v>
      </x:c>
      <x:c r="H105" s="41" t="str">
        <x:v>L'élève sera capable de comprendre consignes, questions et messages courts sur des sujets familiers</x:v>
      </x:c>
      <x:c r="I105" s="41" t="str">
        <x:v>Action ou réponse adaptée sans traduction systématique</x:v>
      </x:c>
      <x:c r="J105" s="41" t="str">
        <x:v>BO LVER cours moyen 2026</x:v>
      </x:c>
      <x:c r="K105" s="41" t="str">
        <x:v>À programmer</x:v>
      </x:c>
      <x:c r="L105" s="31" t="str"/>
    </x:row>
    <x:row r="106" ht="72" customHeight="1">
      <x:c r="A106" s="30" t="str">
        <x:v>CM1-ANG-EOC-01</x:v>
      </x:c>
      <x:c r="B106" s="41" t="str">
        <x:v>CM1</x:v>
      </x:c>
      <x:c r="C106" s="41" t="str">
        <x:v>Anglais</x:v>
      </x:c>
      <x:c r="D106" s="41" t="str">
        <x:v>Parler en continu</x:v>
      </x:c>
      <x:c r="E106" s="41" t="str">
        <x:v>P1</x:v>
      </x:c>
      <x:c r="F106" s="41" t="str">
        <x:v>P1-P5</x:v>
      </x:c>
      <x:c r="G106" s="41" t="str">
        <x:v>Se présenter et présenter autrui</x:v>
      </x:c>
      <x:c r="H106" s="41" t="str">
        <x:v>L'élève sera capable de produire plusieurs phrases mémorisées pour parler de soi ou d’une personne</x:v>
      </x:c>
      <x:c r="I106" s="41" t="str">
        <x:v>Message compréhensible avec lexique et structures attendus</x:v>
      </x:c>
      <x:c r="J106" s="41" t="str">
        <x:v>BO LVER cours moyen 2026</x:v>
      </x:c>
      <x:c r="K106" s="41" t="str">
        <x:v>À programmer</x:v>
      </x:c>
      <x:c r="L106" s="31" t="str"/>
    </x:row>
    <x:row r="107" ht="72" customHeight="1">
      <x:c r="A107" s="30" t="str">
        <x:v>CM1-ANG-EOI-01</x:v>
      </x:c>
      <x:c r="B107" s="41" t="str">
        <x:v>CM1</x:v>
      </x:c>
      <x:c r="C107" s="41" t="str">
        <x:v>Anglais</x:v>
      </x:c>
      <x:c r="D107" s="41" t="str">
        <x:v>Réagir et dialoguer</x:v>
      </x:c>
      <x:c r="E107" s="41" t="str">
        <x:v>P1</x:v>
      </x:c>
      <x:c r="F107" s="41" t="str">
        <x:v>P1-P5</x:v>
      </x:c>
      <x:c r="G107" s="41" t="str">
        <x:v>Échanger des informations</x:v>
      </x:c>
      <x:c r="H107" s="41" t="str">
        <x:v>L'élève sera capable de poser et répondre à des questions simples dans un échange préparé</x:v>
      </x:c>
      <x:c r="I107" s="41" t="str">
        <x:v>Au moins trois tours de parole pertinents</x:v>
      </x:c>
      <x:c r="J107" s="41" t="str">
        <x:v>BO LVER cours moyen 2026</x:v>
      </x:c>
      <x:c r="K107" s="41" t="str">
        <x:v>À programmer</x:v>
      </x:c>
      <x:c r="L107" s="31" t="str"/>
    </x:row>
    <x:row r="108" ht="72" customHeight="1">
      <x:c r="A108" s="30" t="str">
        <x:v>CM1-ANG-CE-01</x:v>
      </x:c>
      <x:c r="B108" s="41" t="str">
        <x:v>CM1</x:v>
      </x:c>
      <x:c r="C108" s="41" t="str">
        <x:v>Anglais</x:v>
      </x:c>
      <x:c r="D108" s="41" t="str">
        <x:v>Lire et comprendre</x:v>
      </x:c>
      <x:c r="E108" s="41" t="str">
        <x:v>P2</x:v>
      </x:c>
      <x:c r="F108" s="41" t="str">
        <x:v>P2-P5</x:v>
      </x:c>
      <x:c r="G108" s="41" t="str">
        <x:v>Comprendre des textes courts</x:v>
      </x:c>
      <x:c r="H108" s="41" t="str">
        <x:v>L'élève sera capable de repérer thème et informations explicites dans un texte simple</x:v>
      </x:c>
      <x:c r="I108" s="41" t="str">
        <x:v>Informations exactes associées au bon support</x:v>
      </x:c>
      <x:c r="J108" s="41" t="str">
        <x:v>BO LVER cours moyen 2026</x:v>
      </x:c>
      <x:c r="K108" s="41" t="str">
        <x:v>À programmer</x:v>
      </x:c>
      <x:c r="L108" s="31" t="str"/>
    </x:row>
    <x:row r="109" ht="72" customHeight="1">
      <x:c r="A109" s="30" t="str">
        <x:v>CM1-ANG-EE-01</x:v>
      </x:c>
      <x:c r="B109" s="41" t="str">
        <x:v>CM1</x:v>
      </x:c>
      <x:c r="C109" s="41" t="str">
        <x:v>Anglais</x:v>
      </x:c>
      <x:c r="D109" s="41" t="str">
        <x:v>Écrire</x:v>
      </x:c>
      <x:c r="E109" s="41" t="str">
        <x:v>P2</x:v>
      </x:c>
      <x:c r="F109" s="41" t="str">
        <x:v>P2-P5</x:v>
      </x:c>
      <x:c r="G109" s="41" t="str">
        <x:v>Écrire à partir d’un modèle</x:v>
      </x:c>
      <x:c r="H109" s="41" t="str">
        <x:v>L'élève sera capable de produire quelques phrases simples sur un sujet familier</x:v>
      </x:c>
      <x:c r="I109" s="41" t="str">
        <x:v>Phrases compréhensibles et modèle adapté</x:v>
      </x:c>
      <x:c r="J109" s="41" t="str">
        <x:v>BO LVER cours moyen 2026</x:v>
      </x:c>
      <x:c r="K109" s="41" t="str">
        <x:v>À programmer</x:v>
      </x:c>
      <x:c r="L109" s="31" t="str"/>
    </x:row>
    <x:row r="110" ht="72" customHeight="1">
      <x:c r="A110" s="30" t="str">
        <x:v>CM1-ANG-PHO-01</x:v>
      </x:c>
      <x:c r="B110" s="41" t="str">
        <x:v>CM1</x:v>
      </x:c>
      <x:c r="C110" s="41" t="str">
        <x:v>Anglais</x:v>
      </x:c>
      <x:c r="D110" s="41" t="str">
        <x:v>Phonologie</x:v>
      </x:c>
      <x:c r="E110" s="41" t="str">
        <x:v>P1</x:v>
      </x:c>
      <x:c r="F110" s="41" t="str">
        <x:v>P1-P5</x:v>
      </x:c>
      <x:c r="G110" s="41" t="str">
        <x:v>Mobiliser des repères phonologiques</x:v>
      </x:c>
      <x:c r="H110" s="41" t="str">
        <x:v>L'élève sera capable de reproduire rythme, accentuation et phonèmes travaillés</x:v>
      </x:c>
      <x:c r="I110" s="41" t="str">
        <x:v>Énoncé intelligible pour un auditeur habitué</x:v>
      </x:c>
      <x:c r="J110" s="41" t="str">
        <x:v>BO LVER cours moyen 2026</x:v>
      </x:c>
      <x:c r="K110" s="41" t="str">
        <x:v>À programmer</x:v>
      </x:c>
      <x:c r="L110" s="31" t="str"/>
    </x:row>
    <x:row r="111" ht="72" customHeight="1">
      <x:c r="A111" s="30" t="str">
        <x:v>CM1-ANG-CUL-01</x:v>
      </x:c>
      <x:c r="B111" s="41" t="str">
        <x:v>CM1</x:v>
      </x:c>
      <x:c r="C111" s="41" t="str">
        <x:v>Anglais</x:v>
      </x:c>
      <x:c r="D111" s="41" t="str">
        <x:v>Culture</x:v>
      </x:c>
      <x:c r="E111" s="41" t="str">
        <x:v>P1</x:v>
      </x:c>
      <x:c r="F111" s="41" t="str">
        <x:v>P1-P5</x:v>
      </x:c>
      <x:c r="G111" s="41" t="str">
        <x:v>Identifier des repères culturels</x:v>
      </x:c>
      <x:c r="H111" s="41" t="str">
        <x:v>L'élève sera capable de présenter un élément culturel du monde anglophone et le comparer à son environnement</x:v>
      </x:c>
      <x:c r="I111" s="41" t="str">
        <x:v>Repère exact et comparaison respectueuse</x:v>
      </x:c>
      <x:c r="J111" s="41" t="str">
        <x:v>BO LVER cours moyen 2026</x:v>
      </x:c>
      <x:c r="K111" s="41" t="str">
        <x:v>À programmer</x:v>
      </x:c>
      <x:c r="L111" s="31" t="str"/>
    </x:row>
    <x:row r="112" ht="72" customHeight="1">
      <x:c r="A112" s="30" t="str">
        <x:v>CM1-ANG-MED-01</x:v>
      </x:c>
      <x:c r="B112" s="41" t="str">
        <x:v>CM1</x:v>
      </x:c>
      <x:c r="C112" s="41" t="str">
        <x:v>Anglais</x:v>
      </x:c>
      <x:c r="D112" s="41" t="str">
        <x:v>Médiation</x:v>
      </x:c>
      <x:c r="E112" s="41" t="str">
        <x:v>P4</x:v>
      </x:c>
      <x:c r="F112" s="41" t="str">
        <x:v>P4-P5</x:v>
      </x:c>
      <x:c r="G112" s="41" t="str">
        <x:v>Expliciter pour autrui</x:v>
      </x:c>
      <x:c r="H112" s="41" t="str">
        <x:v>L'élève sera capable de transmettre simplement une information comprise à un camarade</x:v>
      </x:c>
      <x:c r="I112" s="41" t="str">
        <x:v>Information essentielle conservée et reformulée</x:v>
      </x:c>
      <x:c r="J112" s="41" t="str">
        <x:v>BO LVER cours moyen 2026</x:v>
      </x:c>
      <x:c r="K112" s="41" t="str">
        <x:v>À programmer</x:v>
      </x:c>
      <x:c r="L112" s="31" t="str"/>
    </x:row>
    <x:row r="113" ht="72" customHeight="1">
      <x:c r="A113" s="30" t="str">
        <x:v>CM1-EPS-PERF-01</x:v>
      </x:c>
      <x:c r="B113" s="41" t="str">
        <x:v>CM1</x:v>
      </x:c>
      <x:c r="C113" s="41" t="str">
        <x:v>EPS</x:v>
      </x:c>
      <x:c r="D113" s="41" t="str">
        <x:v>Produire une performance</x:v>
      </x:c>
      <x:c r="E113" s="41" t="str">
        <x:v>P1</x:v>
      </x:c>
      <x:c r="F113" s="41" t="str">
        <x:v>P1-P5</x:v>
      </x:c>
      <x:c r="G113" s="41" t="str">
        <x:v>Se déplacer vite ou longtemps</x:v>
      </x:c>
      <x:c r="H113" s="41" t="str">
        <x:v>L'élève sera capable de adapter son allure et mesurer sa performance</x:v>
      </x:c>
      <x:c r="I113" s="41" t="str">
        <x:v>Projet annoncé, effort régulier et résultat mesuré</x:v>
      </x:c>
      <x:c r="J113" s="41" t="str">
        <x:v>BO EPS cycle 3 2026</x:v>
      </x:c>
      <x:c r="K113" s="41" t="str">
        <x:v>À programmer</x:v>
      </x:c>
      <x:c r="L113" s="31" t="str"/>
    </x:row>
    <x:row r="114" ht="72" customHeight="1">
      <x:c r="A114" s="30" t="str">
        <x:v>CM1-EPS-PERF-02</x:v>
      </x:c>
      <x:c r="B114" s="41" t="str">
        <x:v>CM1</x:v>
      </x:c>
      <x:c r="C114" s="41" t="str">
        <x:v>EPS</x:v>
      </x:c>
      <x:c r="D114" s="41" t="str">
        <x:v>Produire une performance</x:v>
      </x:c>
      <x:c r="E114" s="41" t="str">
        <x:v>P1</x:v>
      </x:c>
      <x:c r="F114" s="41" t="str">
        <x:v>P1-P2</x:v>
      </x:c>
      <x:c r="G114" s="41" t="str">
        <x:v>Sauter ou lancer loin</x:v>
      </x:c>
      <x:c r="H114" s="41" t="str">
        <x:v>L'élève sera capable de choisir une technique et améliorer une performance mesurée</x:v>
      </x:c>
      <x:c r="I114" s="41" t="str">
        <x:v>Performance améliorée et règle de sécurité respectée</x:v>
      </x:c>
      <x:c r="J114" s="41" t="str">
        <x:v>BO EPS cycle 3 2026</x:v>
      </x:c>
      <x:c r="K114" s="41" t="str">
        <x:v>À programmer</x:v>
      </x:c>
      <x:c r="L114" s="31" t="str"/>
    </x:row>
    <x:row r="115" ht="72" customHeight="1">
      <x:c r="A115" s="30" t="str">
        <x:v>CM1-EPS-JEU-01</x:v>
      </x:c>
      <x:c r="B115" s="41" t="str">
        <x:v>CM1</x:v>
      </x:c>
      <x:c r="C115" s="41" t="str">
        <x:v>EPS</x:v>
      </x:c>
      <x:c r="D115" s="41" t="str">
        <x:v>Coopérer et s’opposer</x:v>
      </x:c>
      <x:c r="E115" s="41" t="str">
        <x:v>P2</x:v>
      </x:c>
      <x:c r="F115" s="41" t="str">
        <x:v>P2-P5</x:v>
      </x:c>
      <x:c r="G115" s="41" t="str">
        <x:v>Faire des choix pour marquer</x:v>
      </x:c>
      <x:c r="H115" s="41" t="str">
        <x:v>L'élève sera capable de se démarquer, passer ou tirer selon la situation</x:v>
      </x:c>
      <x:c r="I115" s="41" t="str">
        <x:v>Choix pertinent dans plusieurs situations de jeu</x:v>
      </x:c>
      <x:c r="J115" s="41" t="str">
        <x:v>BO EPS cycle 3 2026</x:v>
      </x:c>
      <x:c r="K115" s="41" t="str">
        <x:v>À programmer</x:v>
      </x:c>
      <x:c r="L115" s="31" t="str"/>
    </x:row>
    <x:row r="116" ht="72" customHeight="1">
      <x:c r="A116" s="30" t="str">
        <x:v>CM1-EPS-JEU-02</x:v>
      </x:c>
      <x:c r="B116" s="41" t="str">
        <x:v>CM1</x:v>
      </x:c>
      <x:c r="C116" s="41" t="str">
        <x:v>EPS</x:v>
      </x:c>
      <x:c r="D116" s="41" t="str">
        <x:v>Coopérer et s’opposer</x:v>
      </x:c>
      <x:c r="E116" s="41" t="str">
        <x:v>P2</x:v>
      </x:c>
      <x:c r="F116" s="41" t="str">
        <x:v>P2-P5</x:v>
      </x:c>
      <x:c r="G116" s="41" t="str">
        <x:v>Respecter règles et personnes</x:v>
      </x:c>
      <x:c r="H116" s="41" t="str">
        <x:v>L'élève sera capable de tenir les rôles de joueur, arbitre et observateur</x:v>
      </x:c>
      <x:c r="I116" s="41" t="str">
        <x:v>Décisions cohérentes et comportement respectueux</x:v>
      </x:c>
      <x:c r="J116" s="41" t="str">
        <x:v>BO EPS cycle 3 2026</x:v>
      </x:c>
      <x:c r="K116" s="41" t="str">
        <x:v>À programmer</x:v>
      </x:c>
      <x:c r="L116" s="31" t="str"/>
    </x:row>
    <x:row r="117" ht="72" customHeight="1">
      <x:c r="A117" s="30" t="str">
        <x:v>CM1-EPS-ADAP-01</x:v>
      </x:c>
      <x:c r="B117" s="41" t="str">
        <x:v>CM1</x:v>
      </x:c>
      <x:c r="C117" s="41" t="str">
        <x:v>EPS</x:v>
      </x:c>
      <x:c r="D117" s="41" t="str">
        <x:v>Adapter ses déplacements</x:v>
      </x:c>
      <x:c r="E117" s="41" t="str">
        <x:v>P3</x:v>
      </x:c>
      <x:c r="F117" s="41" t="str">
        <x:v>P3-P5</x:v>
      </x:c>
      <x:c r="G117" s="41" t="str">
        <x:v>Construire des équilibres</x:v>
      </x:c>
      <x:c r="H117" s="41" t="str">
        <x:v>L'élève sera capable de réaliser un parcours en adaptant appuis, vitesse et trajectoire</x:v>
      </x:c>
      <x:c r="I117" s="41" t="str">
        <x:v>Parcours réalisé sans mise en danger</x:v>
      </x:c>
      <x:c r="J117" s="41" t="str">
        <x:v>BO EPS cycle 3 2026</x:v>
      </x:c>
      <x:c r="K117" s="41" t="str">
        <x:v>À programmer</x:v>
      </x:c>
      <x:c r="L117" s="31" t="str"/>
    </x:row>
    <x:row r="118" ht="72" customHeight="1">
      <x:c r="A118" s="30" t="str">
        <x:v>CM1-EPS-EXP-01</x:v>
      </x:c>
      <x:c r="B118" s="41" t="str">
        <x:v>CM1</x:v>
      </x:c>
      <x:c r="C118" s="41" t="str">
        <x:v>EPS</x:v>
      </x:c>
      <x:c r="D118" s="41" t="str">
        <x:v>Expression corporelle</x:v>
      </x:c>
      <x:c r="E118" s="41" t="str">
        <x:v>P4</x:v>
      </x:c>
      <x:c r="F118" s="41" t="str">
        <x:v>P4</x:v>
      </x:c>
      <x:c r="G118" s="41" t="str">
        <x:v>Créer un enchaînement</x:v>
      </x:c>
      <x:c r="H118" s="41" t="str">
        <x:v>L'élève sera capable de composer et mémoriser une courte prestation collective</x:v>
      </x:c>
      <x:c r="I118" s="41" t="str">
        <x:v>Début, développement et fin visibles, synchronisation suffisante</x:v>
      </x:c>
      <x:c r="J118" s="41" t="str">
        <x:v>BO EPS cycle 3 2026</x:v>
      </x:c>
      <x:c r="K118" s="41" t="str">
        <x:v>À programmer</x:v>
      </x:c>
      <x:c r="L118" s="31" t="str"/>
    </x:row>
    <x:row r="119" ht="72" customHeight="1">
      <x:c r="A119" s="30" t="str">
        <x:v>CM1-EPS-EXP-02</x:v>
      </x:c>
      <x:c r="B119" s="41" t="str">
        <x:v>CM1</x:v>
      </x:c>
      <x:c r="C119" s="41" t="str">
        <x:v>EPS</x:v>
      </x:c>
      <x:c r="D119" s="41" t="str">
        <x:v>Expression corporelle</x:v>
      </x:c>
      <x:c r="E119" s="41" t="str">
        <x:v>P4</x:v>
      </x:c>
      <x:c r="F119" s="41" t="str">
        <x:v>P4</x:v>
      </x:c>
      <x:c r="G119" s="41" t="str">
        <x:v>Exprimer et apprécier</x:v>
      </x:c>
      <x:c r="H119" s="41" t="str">
        <x:v>L'élève sera capable de produire une émotion et donner un retour précis à un groupe</x:v>
      </x:c>
      <x:c r="I119" s="41" t="str">
        <x:v>Effet recherché perceptible et retour fondé sur deux critères</x:v>
      </x:c>
      <x:c r="J119" s="41" t="str">
        <x:v>BO EPS cycle 3 2026</x:v>
      </x:c>
      <x:c r="K119" s="41" t="str">
        <x:v>À programmer</x:v>
      </x:c>
      <x:c r="L119" s="31" t="str"/>
    </x:row>
    <x:row r="120" ht="72" customHeight="1">
      <x:c r="A120" s="30" t="str">
        <x:v>CM1-EPS-ORI-01</x:v>
      </x:c>
      <x:c r="B120" s="41" t="str">
        <x:v>CM1</x:v>
      </x:c>
      <x:c r="C120" s="41" t="str">
        <x:v>EPS</x:v>
      </x:c>
      <x:c r="D120" s="41" t="str">
        <x:v>Orientation</x:v>
      </x:c>
      <x:c r="E120" s="41" t="str">
        <x:v>P5</x:v>
      </x:c>
      <x:c r="F120" s="41" t="str">
        <x:v>P5</x:v>
      </x:c>
      <x:c r="G120" s="41" t="str">
        <x:v>Suivre un itinéraire</x:v>
      </x:c>
      <x:c r="H120" s="41" t="str">
        <x:v>L'élève sera capable de prélever des indices et réaliser un parcours défini</x:v>
      </x:c>
      <x:c r="I120" s="41" t="str">
        <x:v>Balises trouvées dans l’ordre et temps respecté</x:v>
      </x:c>
      <x:c r="J120" s="41" t="str">
        <x:v>BO EPS cycle 3 2026</x:v>
      </x:c>
      <x:c r="K120" s="41" t="str">
        <x:v>À programmer</x:v>
      </x:c>
      <x:c r="L120" s="31" t="str"/>
    </x:row>
    <x:row r="121" ht="72" customHeight="1">
      <x:c r="A121" s="30" t="str">
        <x:v>CM1-ART-AP-01</x:v>
      </x:c>
      <x:c r="B121" s="41" t="str">
        <x:v>CM1</x:v>
      </x:c>
      <x:c r="C121" s="41" t="str">
        <x:v>Enseignements artistiques</x:v>
      </x:c>
      <x:c r="D121" s="41" t="str">
        <x:v>Arts plastiques</x:v>
      </x:c>
      <x:c r="E121" s="41" t="str">
        <x:v>P1</x:v>
      </x:c>
      <x:c r="F121" s="41" t="str">
        <x:v>P1-P5</x:v>
      </x:c>
      <x:c r="G121" s="41" t="str">
        <x:v>Expérimenter, produire, créer</x:v>
      </x:c>
      <x:c r="H121" s="41" t="str">
        <x:v>L'élève sera capable de explorer plusieurs outils et matériaux pour répondre à une intention</x:v>
      </x:c>
      <x:c r="I121" s="41" t="str">
        <x:v>Choix plastiques variés et intention formulée</x:v>
      </x:c>
      <x:c r="J121" s="41" t="str">
        <x:v>Programme cycle 3 BO 2020</x:v>
      </x:c>
      <x:c r="K121" s="41" t="str">
        <x:v>À programmer</x:v>
      </x:c>
      <x:c r="L121" s="31" t="str"/>
    </x:row>
    <x:row r="122" ht="72" customHeight="1">
      <x:c r="A122" s="30" t="str">
        <x:v>CM1-ART-AP-02</x:v>
      </x:c>
      <x:c r="B122" s="41" t="str">
        <x:v>CM1</x:v>
      </x:c>
      <x:c r="C122" s="41" t="str">
        <x:v>Enseignements artistiques</x:v>
      </x:c>
      <x:c r="D122" s="41" t="str">
        <x:v>Arts plastiques</x:v>
      </x:c>
      <x:c r="E122" s="41" t="str">
        <x:v>P2</x:v>
      </x:c>
      <x:c r="F122" s="41" t="str">
        <x:v>P2-P5</x:v>
      </x:c>
      <x:c r="G122" s="41" t="str">
        <x:v>Mettre en œuvre un projet</x:v>
      </x:c>
      <x:c r="H122" s="41" t="str">
        <x:v>L'élève sera capable de planifier, réaliser et présenter une production individuelle ou collective</x:v>
      </x:c>
      <x:c r="I122" s="41" t="str">
        <x:v>Étapes respectées et production menée à terme</x:v>
      </x:c>
      <x:c r="J122" s="41" t="str">
        <x:v>Programme cycle 3 BO 2020</x:v>
      </x:c>
      <x:c r="K122" s="41" t="str">
        <x:v>À programmer</x:v>
      </x:c>
      <x:c r="L122" s="31" t="str"/>
    </x:row>
    <x:row r="123" ht="72" customHeight="1">
      <x:c r="A123" s="30" t="str">
        <x:v>CM1-ART-AP-03</x:v>
      </x:c>
      <x:c r="B123" s="41" t="str">
        <x:v>CM1</x:v>
      </x:c>
      <x:c r="C123" s="41" t="str">
        <x:v>Enseignements artistiques</x:v>
      </x:c>
      <x:c r="D123" s="41" t="str">
        <x:v>Arts plastiques</x:v>
      </x:c>
      <x:c r="E123" s="41" t="str">
        <x:v>P3</x:v>
      </x:c>
      <x:c r="F123" s="41" t="str">
        <x:v>P3-P5</x:v>
      </x:c>
      <x:c r="G123" s="41" t="str">
        <x:v>Analyser une pratique et une œuvre</x:v>
      </x:c>
      <x:c r="H123" s="41" t="str">
        <x:v>L'élève sera capable de décrire une production avec un vocabulaire plastique précis</x:v>
      </x:c>
      <x:c r="I123" s="41" t="str">
        <x:v>Au moins trois caractéristiques observées et reliées à un effet</x:v>
      </x:c>
      <x:c r="J123" s="41" t="str">
        <x:v>Programme cycle 3 BO 2020</x:v>
      </x:c>
      <x:c r="K123" s="41" t="str">
        <x:v>À programmer</x:v>
      </x:c>
      <x:c r="L123" s="31" t="str"/>
    </x:row>
    <x:row r="124" ht="72" customHeight="1">
      <x:c r="A124" s="30" t="str">
        <x:v>CM1-ART-MUS-01</x:v>
      </x:c>
      <x:c r="B124" s="41" t="str">
        <x:v>CM1</x:v>
      </x:c>
      <x:c r="C124" s="41" t="str">
        <x:v>Enseignements artistiques</x:v>
      </x:c>
      <x:c r="D124" s="41" t="str">
        <x:v>Éducation musicale</x:v>
      </x:c>
      <x:c r="E124" s="41" t="str">
        <x:v>P1</x:v>
      </x:c>
      <x:c r="F124" s="41" t="str">
        <x:v>P1-P5</x:v>
      </x:c>
      <x:c r="G124" s="41" t="str">
        <x:v>Chanter et interpréter</x:v>
      </x:c>
      <x:c r="H124" s="41" t="str">
        <x:v>L'élève sera capable de tenir sa partie dans un chant collectif avec posture et justesse adaptées</x:v>
      </x:c>
      <x:c r="I124" s="41" t="str">
        <x:v>Entrées, rythme et paroles maîtrisés</x:v>
      </x:c>
      <x:c r="J124" s="41" t="str">
        <x:v>Programme cycle 3 BO 2020</x:v>
      </x:c>
      <x:c r="K124" s="41" t="str">
        <x:v>À programmer</x:v>
      </x:c>
      <x:c r="L124" s="31" t="str"/>
    </x:row>
    <x:row r="125" ht="72" customHeight="1">
      <x:c r="A125" s="30" t="str">
        <x:v>CM1-ART-MUS-02</x:v>
      </x:c>
      <x:c r="B125" s="41" t="str">
        <x:v>CM1</x:v>
      </x:c>
      <x:c r="C125" s="41" t="str">
        <x:v>Enseignements artistiques</x:v>
      </x:c>
      <x:c r="D125" s="41" t="str">
        <x:v>Éducation musicale</x:v>
      </x:c>
      <x:c r="E125" s="41" t="str">
        <x:v>P2</x:v>
      </x:c>
      <x:c r="F125" s="41" t="str">
        <x:v>P2-P5</x:v>
      </x:c>
      <x:c r="G125" s="41" t="str">
        <x:v>Écouter, comparer et commenter</x:v>
      </x:c>
      <x:c r="H125" s="41" t="str">
        <x:v>L'élève sera capable de repérer ressemblances et différences entre deux extraits</x:v>
      </x:c>
      <x:c r="I125" s="41" t="str">
        <x:v>Deux critères musicaux mobilisés dans la comparaison</x:v>
      </x:c>
      <x:c r="J125" s="41" t="str">
        <x:v>Programme cycle 3 BO 2020</x:v>
      </x:c>
      <x:c r="K125" s="41" t="str">
        <x:v>À programmer</x:v>
      </x:c>
      <x:c r="L125" s="31" t="str"/>
    </x:row>
    <x:row r="126" ht="72" customHeight="1">
      <x:c r="A126" s="30" t="str">
        <x:v>CM1-ART-MUS-03</x:v>
      </x:c>
      <x:c r="B126" s="41" t="str">
        <x:v>CM1</x:v>
      </x:c>
      <x:c r="C126" s="41" t="str">
        <x:v>Enseignements artistiques</x:v>
      </x:c>
      <x:c r="D126" s="41" t="str">
        <x:v>Éducation musicale</x:v>
      </x:c>
      <x:c r="E126" s="41" t="str">
        <x:v>P3</x:v>
      </x:c>
      <x:c r="F126" s="41" t="str">
        <x:v>P3-P5</x:v>
      </x:c>
      <x:c r="G126" s="41" t="str">
        <x:v>Explorer, imaginer et créer</x:v>
      </x:c>
      <x:c r="H126" s="41" t="str">
        <x:v>L'élève sera capable de organiser des sons pour produire une courte création</x:v>
      </x:c>
      <x:c r="I126" s="41" t="str">
        <x:v>Organisation reproductible et intention expliquée</x:v>
      </x:c>
      <x:c r="J126" s="41" t="str">
        <x:v>Programme cycle 3 BO 2020</x:v>
      </x:c>
      <x:c r="K126" s="41" t="str">
        <x:v>À programmer</x:v>
      </x:c>
      <x:c r="L126" s="31" t="str"/>
    </x:row>
    <x:row r="127" ht="72" customHeight="1">
      <x:c r="A127" s="30" t="str">
        <x:v>CM1-ART-HDA-01</x:v>
      </x:c>
      <x:c r="B127" s="41" t="str">
        <x:v>CM1</x:v>
      </x:c>
      <x:c r="C127" s="41" t="str">
        <x:v>Enseignements artistiques</x:v>
      </x:c>
      <x:c r="D127" s="41" t="str">
        <x:v>Histoire des arts</x:v>
      </x:c>
      <x:c r="E127" s="41" t="str">
        <x:v>P1</x:v>
      </x:c>
      <x:c r="F127" s="41" t="str">
        <x:v>P1-P5</x:v>
      </x:c>
      <x:c r="G127" s="41" t="str">
        <x:v>Se repérer dans les domaines artistiques</x:v>
      </x:c>
      <x:c r="H127" s="41" t="str">
        <x:v>L'élève sera capable de identifier une œuvre, son domaine, son époque et quelques caractéristiques</x:v>
      </x:c>
      <x:c r="I127" s="41" t="str">
        <x:v>Cartel simple exact et vocabulaire approprié</x:v>
      </x:c>
      <x:c r="J127" s="41" t="str">
        <x:v>Programme cycle 3 BO 2020</x:v>
      </x:c>
      <x:c r="K127" s="41" t="str">
        <x:v>À programmer</x:v>
      </x:c>
      <x:c r="L127" s="31" t="str"/>
    </x:row>
    <x:row r="128" ht="72" customHeight="1">
      <x:c r="A128" s="32" t="str">
        <x:v>CM1-ART-HDA-02</x:v>
      </x:c>
      <x:c r="B128" s="42" t="str">
        <x:v>CM1</x:v>
      </x:c>
      <x:c r="C128" s="42" t="str">
        <x:v>Enseignements artistiques</x:v>
      </x:c>
      <x:c r="D128" s="42" t="str">
        <x:v>Histoire des arts</x:v>
      </x:c>
      <x:c r="E128" s="42" t="str">
        <x:v>P4</x:v>
      </x:c>
      <x:c r="F128" s="42" t="str">
        <x:v>P4-P5</x:v>
      </x:c>
      <x:c r="G128" s="42" t="str">
        <x:v>Relier une œuvre à un contexte</x:v>
      </x:c>
      <x:c r="H128" s="42" t="str">
        <x:v>L'élève sera capable de mettre en relation une œuvre avec un fait historique, un lieu ou un usage</x:v>
      </x:c>
      <x:c r="I128" s="42" t="str">
        <x:v>Lien contextualisé et justifié par un détail observé</x:v>
      </x:c>
      <x:c r="J128" s="42" t="str">
        <x:v>Programme cycle 3 BO 2020</x:v>
      </x:c>
      <x:c r="K128" s="42" t="str">
        <x:v>À programmer</x:v>
      </x:c>
      <x:c r="L128" s="33" t="str"/>
    </x:row>
  </x:sheetData>
  <x:mergeCells>
    <x:mergeCell ref="A1:L1"/>
    <x:mergeCell ref="A2:L2"/>
  </x:mergeCells>
  <x:dataValidations count="1">
    <x:dataValidation type="list" sqref="K5:K128">
      <x:formula1>"À programmer,En cours,Réalisé,À reprendre"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8" hidden="0" customWidth="1"/>
    <x:col min="4" max="4" width="22" hidden="0" customWidth="1"/>
    <x:col min="5" max="5" width="55" hidden="0" customWidth="1"/>
    <x:col min="6" max="6" width="55" hidden="0" customWidth="1"/>
  </x:cols>
  <x:sheetData>
    <x:row r="1" ht="30" customHeight="1">
      <x:c r="A1" s="4" t="str">
        <x:v>Objectifs à mobiliser par période</x:v>
      </x:c>
      <x:c r="B1" s="4"/>
      <x:c r="C1" s="4"/>
      <x:c r="D1" s="4"/>
      <x:c r="E1" s="4"/>
      <x:c r="F1" s="4"/>
    </x:row>
    <x:row r="2" ht="28" customHeight="1">
      <x:c r="A2" s="8" t="str">
        <x:v>Vue prête à copier dans le cahier journal</x:v>
      </x:c>
      <x:c r="B2" s="8"/>
      <x:c r="C2" s="8"/>
      <x:c r="D2" s="8"/>
      <x:c r="E2" s="8"/>
      <x:c r="F2" s="8"/>
    </x:row>
    <x:row r="4">
      <x:c r="A4" s="14" t="str">
        <x:v>Période</x:v>
      </x:c>
      <x:c r="B4" s="14" t="str">
        <x:v>Matière</x:v>
      </x:c>
      <x:c r="C4" s="14" t="str">
        <x:v>Domaine</x:v>
      </x:c>
      <x:c r="D4" s="14" t="str">
        <x:v>ID</x:v>
      </x:c>
      <x:c r="E4" s="14" t="str">
        <x:v>Objectif pédagogique</x:v>
      </x:c>
      <x:c r="F4" s="14" t="str">
        <x:v>Critère de réussite</x:v>
      </x:c>
    </x:row>
    <x:row r="5" ht="65" customHeight="1">
      <x:c r="A5" s="28" t="str">
        <x:v>P1</x:v>
      </x:c>
      <x:c r="B5" s="40" t="str">
        <x:v>Français</x:v>
      </x:c>
      <x:c r="C5" s="40" t="str">
        <x:v>Lecture</x:v>
      </x:c>
      <x:c r="D5" s="40" t="str">
        <x:v>CM1-FRA-LEC-01</x:v>
      </x:c>
      <x:c r="E5" s="40" t="str">
        <x:v>L'élève sera capable de lire silencieusement ou à voix haute un texte d’une page sans effort excessif</x:v>
      </x:c>
      <x:c r="F5" s="29" t="str">
        <x:v>Lecture exacte, rythme régulier et respect des groupes de sens</x:v>
      </x:c>
    </x:row>
    <x:row r="6" ht="65" customHeight="1">
      <x:c r="A6" s="30" t="str">
        <x:v>P1</x:v>
      </x:c>
      <x:c r="B6" s="41" t="str">
        <x:v>Français</x:v>
      </x:c>
      <x:c r="C6" s="41" t="str">
        <x:v>Lecture</x:v>
      </x:c>
      <x:c r="D6" s="41" t="str">
        <x:v>CM1-FRA-LEC-02</x:v>
      </x:c>
      <x:c r="E6" s="41" t="str">
        <x:v>L'élève sera capable de préparer puis oraliser un texte court en respectant ponctuation et intention</x:v>
      </x:c>
      <x:c r="F6" s="31" t="str">
        <x:v>Voix audible, ponctuation marquée et intonation adaptée</x:v>
      </x:c>
    </x:row>
    <x:row r="7" ht="65" customHeight="1">
      <x:c r="A7" s="30" t="str">
        <x:v>P1</x:v>
      </x:c>
      <x:c r="B7" s="41" t="str">
        <x:v>Français</x:v>
      </x:c>
      <x:c r="C7" s="41" t="str">
        <x:v>Compréhension</x:v>
      </x:c>
      <x:c r="D7" s="41" t="str">
        <x:v>CM1-FRA-LEC-03</x:v>
      </x:c>
      <x:c r="E7" s="41" t="str">
        <x:v>L'élève sera capable de identifier personnages, relations, actions et chronologie</x:v>
      </x:c>
      <x:c r="F7" s="31" t="str">
        <x:v>Réponses justifiées par au moins un indice du texte</x:v>
      </x:c>
    </x:row>
    <x:row r="8" ht="65" customHeight="1">
      <x:c r="A8" s="30" t="str">
        <x:v>P1</x:v>
      </x:c>
      <x:c r="B8" s="41" t="str">
        <x:v>Français</x:v>
      </x:c>
      <x:c r="C8" s="41" t="str">
        <x:v>Culture littéraire</x:v>
      </x:c>
      <x:c r="D8" s="41" t="str">
        <x:v>CM1-FRA-LEC-08</x:v>
      </x:c>
      <x:c r="E8" s="41" t="str">
        <x:v>L'élève sera capable de tenir une trace personnelle de ses lectures et partager une appréciation argumentée</x:v>
      </x:c>
      <x:c r="F8" s="31" t="str">
        <x:v>Trace datée comportant résumé bref et avis justifié</x:v>
      </x:c>
    </x:row>
    <x:row r="9" ht="65" customHeight="1">
      <x:c r="A9" s="30" t="str">
        <x:v>P1</x:v>
      </x:c>
      <x:c r="B9" s="41" t="str">
        <x:v>Français</x:v>
      </x:c>
      <x:c r="C9" s="41" t="str">
        <x:v>Écriture</x:v>
      </x:c>
      <x:c r="D9" s="41" t="str">
        <x:v>CM1-FRA-ECR-01</x:v>
      </x:c>
      <x:c r="E9" s="41" t="str">
        <x:v>L'élève sera capable de copier un texte court lisiblement, sans omission et dans un temps raisonnable</x:v>
      </x:c>
      <x:c r="F9" s="31" t="str">
        <x:v>Copie fidèle, mise en page respectée et moins de deux erreurs</x:v>
      </x:c>
    </x:row>
    <x:row r="10" ht="65" customHeight="1">
      <x:c r="A10" s="30" t="str">
        <x:v>P1</x:v>
      </x:c>
      <x:c r="B10" s="41" t="str">
        <x:v>Français</x:v>
      </x:c>
      <x:c r="C10" s="41" t="str">
        <x:v>Écriture</x:v>
      </x:c>
      <x:c r="D10" s="41" t="str">
        <x:v>CM1-FRA-ECR-02</x:v>
      </x:c>
      <x:c r="E10" s="41" t="str">
        <x:v>L'élève sera capable de produire un écrit court pour expliquer un choix ou reformuler une leçon</x:v>
      </x:c>
      <x:c r="F10" s="31" t="str">
        <x:v>Idée essentielle formulée en phrases complètes</x:v>
      </x:c>
    </x:row>
    <x:row r="11" ht="65" customHeight="1">
      <x:c r="A11" s="30" t="str">
        <x:v>P1</x:v>
      </x:c>
      <x:c r="B11" s="41" t="str">
        <x:v>Français</x:v>
      </x:c>
      <x:c r="C11" s="41" t="str">
        <x:v>Production d’écrits</x:v>
      </x:c>
      <x:c r="D11" s="41" t="str">
        <x:v>CM1-FRA-ECR-03</x:v>
      </x:c>
      <x:c r="E11" s="41" t="str">
        <x:v>L'élève sera capable de planifier, rédiger et réviser un épisode de légende</x:v>
      </x:c>
      <x:c r="F11" s="31" t="str">
        <x:v>Texte cohérent avec personnage, action et marqueurs temporels</x:v>
      </x:c>
    </x:row>
    <x:row r="12" ht="65" customHeight="1">
      <x:c r="A12" s="30" t="str">
        <x:v>P1</x:v>
      </x:c>
      <x:c r="B12" s="41" t="str">
        <x:v>Français</x:v>
      </x:c>
      <x:c r="C12" s="41" t="str">
        <x:v>Oral</x:v>
      </x:c>
      <x:c r="D12" s="41" t="str">
        <x:v>CM1-FRA-ORA-01</x:v>
      </x:c>
      <x:c r="E12" s="41" t="str">
        <x:v>L'élève sera capable de maintenir une écoute active et reformuler l’essentiel d’un message</x:v>
      </x:c>
      <x:c r="F12" s="31" t="str">
        <x:v>Reformulation fidèle sans ajout majeur</x:v>
      </x:c>
    </x:row>
    <x:row r="13" ht="65" customHeight="1">
      <x:c r="A13" s="30" t="str">
        <x:v>P1</x:v>
      </x:c>
      <x:c r="B13" s="41" t="str">
        <x:v>Français</x:v>
      </x:c>
      <x:c r="C13" s="41" t="str">
        <x:v>Oral</x:v>
      </x:c>
      <x:c r="D13" s="41" t="str">
        <x:v>CM1-FRA-ORA-02</x:v>
      </x:c>
      <x:c r="E13" s="41" t="str">
        <x:v>L'élève sera capable de prendre la parole à propos en respectant les tours de parole</x:v>
      </x:c>
      <x:c r="F13" s="31" t="str">
        <x:v>Intervention pertinente et règles d’échange respectées</x:v>
      </x:c>
    </x:row>
    <x:row r="14" ht="65" customHeight="1">
      <x:c r="A14" s="30" t="str">
        <x:v>P1</x:v>
      </x:c>
      <x:c r="B14" s="41" t="str">
        <x:v>Français</x:v>
      </x:c>
      <x:c r="C14" s="41" t="str">
        <x:v>Vocabulaire</x:v>
      </x:c>
      <x:c r="D14" s="41" t="str">
        <x:v>CM1-FRA-VOC-01</x:v>
      </x:c>
      <x:c r="E14" s="41" t="str">
        <x:v>L'élève sera capable de utiliser un article de dictionnaire pour choisir le sens adapté</x:v>
      </x:c>
      <x:c r="F14" s="31" t="str">
        <x:v>Nature, définition et exemple correctement exploités</x:v>
      </x:c>
    </x:row>
    <x:row r="15" ht="65" customHeight="1">
      <x:c r="A15" s="30" t="str">
        <x:v>P1</x:v>
      </x:c>
      <x:c r="B15" s="41" t="str">
        <x:v>Français</x:v>
      </x:c>
      <x:c r="C15" s="41" t="str">
        <x:v>Vocabulaire</x:v>
      </x:c>
      <x:c r="D15" s="41" t="str">
        <x:v>CM1-FRA-VOC-02</x:v>
      </x:c>
      <x:c r="E15" s="41" t="str">
        <x:v>L'élève sera capable de former et reconnaître familles de mots, préfixes et suffixes</x:v>
      </x:c>
      <x:c r="F15" s="31" t="str">
        <x:v>Mots classés et radical ou affixe identifié</x:v>
      </x:c>
    </x:row>
    <x:row r="16" ht="65" customHeight="1">
      <x:c r="A16" s="30" t="str">
        <x:v>P1</x:v>
      </x:c>
      <x:c r="B16" s="41" t="str">
        <x:v>Français</x:v>
      </x:c>
      <x:c r="C16" s="41" t="str">
        <x:v>Grammaire</x:v>
      </x:c>
      <x:c r="D16" s="41" t="str">
        <x:v>CM1-FRA-GRA-01</x:v>
      </x:c>
      <x:c r="E16" s="41" t="str">
        <x:v>L'élève sera capable de identifier et transformer types déclaratif, interrogatif, impératif et formes négative, exclamative</x:v>
      </x:c>
      <x:c r="F16" s="31" t="str">
        <x:v>Type ou forme nommé et transformation grammaticalement correcte</x:v>
      </x:c>
    </x:row>
    <x:row r="17" ht="65" customHeight="1">
      <x:c r="A17" s="30" t="str">
        <x:v>P1</x:v>
      </x:c>
      <x:c r="B17" s="41" t="str">
        <x:v>Français</x:v>
      </x:c>
      <x:c r="C17" s="41" t="str">
        <x:v>Grammaire</x:v>
      </x:c>
      <x:c r="D17" s="41" t="str">
        <x:v>CM1-FRA-GRA-02</x:v>
      </x:c>
      <x:c r="E17" s="41" t="str">
        <x:v>L'élève sera capable de distinguer déterminant, nom, adjectif, pronom personnel et verbe</x:v>
      </x:c>
      <x:c r="F17" s="31" t="str">
        <x:v>Au moins 8 mots sur 10 correctement classés</x:v>
      </x:c>
    </x:row>
    <x:row r="18" ht="65" customHeight="1">
      <x:c r="A18" s="30" t="str">
        <x:v>P1</x:v>
      </x:c>
      <x:c r="B18" s="41" t="str">
        <x:v>Français</x:v>
      </x:c>
      <x:c r="C18" s="41" t="str">
        <x:v>Grammaire</x:v>
      </x:c>
      <x:c r="D18" s="41" t="str">
        <x:v>CM1-FRA-GRA-03</x:v>
      </x:c>
      <x:c r="E18" s="41" t="str">
        <x:v>L'élève sera capable de repérer le nom noyau et les constituants d’un groupe nominal</x:v>
      </x:c>
      <x:c r="F18" s="31" t="str">
        <x:v>Déterminant, nom noyau et adjectif correctement repérés</x:v>
      </x:c>
    </x:row>
    <x:row r="19" ht="65" customHeight="1">
      <x:c r="A19" s="30" t="str">
        <x:v>P1</x:v>
      </x:c>
      <x:c r="B19" s="41" t="str">
        <x:v>Français</x:v>
      </x:c>
      <x:c r="C19" s="41" t="str">
        <x:v>Orthographe grammaticale</x:v>
      </x:c>
      <x:c r="D19" s="41" t="str">
        <x:v>CM1-FRA-ORT-01</x:v>
      </x:c>
      <x:c r="E19" s="41" t="str">
        <x:v>L'élève sera capable de accorder déterminant, nom et adjectif en genre et en nombre</x:v>
      </x:c>
      <x:c r="F19" s="31" t="str">
        <x:v>Toutes les marques d’accord visibles dans 4 GN sur 5</x:v>
      </x:c>
    </x:row>
    <x:row r="20" ht="65" customHeight="1">
      <x:c r="A20" s="30" t="str">
        <x:v>P1</x:v>
      </x:c>
      <x:c r="B20" s="41" t="str">
        <x:v>Français</x:v>
      </x:c>
      <x:c r="C20" s="41" t="str">
        <x:v>Conjugaison</x:v>
      </x:c>
      <x:c r="D20" s="41" t="str">
        <x:v>CM1-FRA-CON-01</x:v>
      </x:c>
      <x:c r="E20" s="41" t="str">
        <x:v>L'élève sera capable de conjuguer au présent être, avoir et les verbes exigés du CM1</x:v>
      </x:c>
      <x:c r="F20" s="31" t="str">
        <x:v>Radical et terminaisons corrects dans 8 formes sur 10</x:v>
      </x:c>
    </x:row>
    <x:row r="21" ht="65" customHeight="1">
      <x:c r="A21" s="30" t="str">
        <x:v>P1</x:v>
      </x:c>
      <x:c r="B21" s="41" t="str">
        <x:v>Mathématiques</x:v>
      </x:c>
      <x:c r="C21" s="41" t="str">
        <x:v>Nombres entiers</x:v>
      </x:c>
      <x:c r="D21" s="41" t="str">
        <x:v>CM1-MAT-NOM-01</x:v>
      </x:c>
      <x:c r="E21" s="41" t="str">
        <x:v>L'élève sera capable de lire, écrire, comparer et décomposer des entiers jusqu’à 999 999</x:v>
      </x:c>
      <x:c r="F21" s="31" t="str">
        <x:v>8 réponses correctes sur 10 avec justification de la valeur des chiffres</x:v>
      </x:c>
    </x:row>
    <x:row r="22" ht="65" customHeight="1">
      <x:c r="A22" s="30" t="str">
        <x:v>P1</x:v>
      </x:c>
      <x:c r="B22" s="41" t="str">
        <x:v>Mathématiques</x:v>
      </x:c>
      <x:c r="C22" s="41" t="str">
        <x:v>Nombres entiers</x:v>
      </x:c>
      <x:c r="D22" s="41" t="str">
        <x:v>CM1-MAT-NOM-02</x:v>
      </x:c>
      <x:c r="E22" s="41" t="str">
        <x:v>L'élève sera capable de placer et repérer des entiers sur une demi-droite graduée</x:v>
      </x:c>
      <x:c r="F22" s="31" t="str">
        <x:v>Graduation comprise et position exacte dans 4 cas sur 5</x:v>
      </x:c>
    </x:row>
    <x:row r="23" ht="65" customHeight="1">
      <x:c r="A23" s="30" t="str">
        <x:v>P1</x:v>
      </x:c>
      <x:c r="B23" s="41" t="str">
        <x:v>Mathématiques</x:v>
      </x:c>
      <x:c r="C23" s="41" t="str">
        <x:v>Fractions</x:v>
      </x:c>
      <x:c r="D23" s="41" t="str">
        <x:v>CM1-MAT-FRA-01</x:v>
      </x:c>
      <x:c r="E23" s="41" t="str">
        <x:v>L'élève sera capable de lire, écrire et représenter une fraction inférieure ou supérieure à 1</x:v>
      </x:c>
      <x:c r="F23" s="31" t="str">
        <x:v>Représentation et écriture concordent dans 4 cas sur 5</x:v>
      </x:c>
    </x:row>
    <x:row r="24" ht="65" customHeight="1">
      <x:c r="A24" s="30" t="str">
        <x:v>P1</x:v>
      </x:c>
      <x:c r="B24" s="41" t="str">
        <x:v>Mathématiques</x:v>
      </x:c>
      <x:c r="C24" s="41" t="str">
        <x:v>Fractions</x:v>
      </x:c>
      <x:c r="D24" s="41" t="str">
        <x:v>CM1-MAT-FRA-02</x:v>
      </x:c>
      <x:c r="E24" s="41" t="str">
        <x:v>L'élève sera capable de comparer des fractions de même dénominateur ou à l’aide de représentations</x:v>
      </x:c>
      <x:c r="F24" s="31" t="str">
        <x:v>Signe de comparaison correct et justification fournie</x:v>
      </x:c>
    </x:row>
    <x:row r="25" ht="65" customHeight="1">
      <x:c r="A25" s="30" t="str">
        <x:v>P1</x:v>
      </x:c>
      <x:c r="B25" s="41" t="str">
        <x:v>Mathématiques</x:v>
      </x:c>
      <x:c r="C25" s="41" t="str">
        <x:v>Fractions</x:v>
      </x:c>
      <x:c r="D25" s="41" t="str">
        <x:v>CM1-MAT-FRA-03</x:v>
      </x:c>
      <x:c r="E25" s="41" t="str">
        <x:v>L'élève sera capable de additionner ou soustraire des fractions de même dénominateur</x:v>
      </x:c>
      <x:c r="F25" s="31" t="str">
        <x:v>Résultat exact et représentation cohérente dans 4 cas sur 5</x:v>
      </x:c>
    </x:row>
    <x:row r="26" ht="65" customHeight="1">
      <x:c r="A26" s="30" t="str">
        <x:v>P1</x:v>
      </x:c>
      <x:c r="B26" s="41" t="str">
        <x:v>Mathématiques</x:v>
      </x:c>
      <x:c r="C26" s="41" t="str">
        <x:v>Calcul mental</x:v>
      </x:c>
      <x:c r="D26" s="41" t="str">
        <x:v>CM1-MAT-CAL-01</x:v>
      </x:c>
      <x:c r="E26" s="41" t="str">
        <x:v>L'élève sera capable de restituer tables d’addition et de multiplication et relations usuelles</x:v>
      </x:c>
      <x:c r="F26" s="31" t="str">
        <x:v>Au moins 80 % de réussite dans un temps donné</x:v>
      </x:c>
    </x:row>
    <x:row r="27" ht="65" customHeight="1">
      <x:c r="A27" s="30" t="str">
        <x:v>P1</x:v>
      </x:c>
      <x:c r="B27" s="41" t="str">
        <x:v>Mathématiques</x:v>
      </x:c>
      <x:c r="C27" s="41" t="str">
        <x:v>Opérations</x:v>
      </x:c>
      <x:c r="D27" s="41" t="str">
        <x:v>CM1-MAT-OPE-01</x:v>
      </x:c>
      <x:c r="E27" s="41" t="str">
        <x:v>L'élève sera capable de poser et effectuer additions et soustractions d’entiers</x:v>
      </x:c>
      <x:c r="F27" s="31" t="str">
        <x:v>Résultat exact et alignement des rangs respecté</x:v>
      </x:c>
    </x:row>
    <x:row r="28" ht="65" customHeight="1">
      <x:c r="A28" s="30" t="str">
        <x:v>P1</x:v>
      </x:c>
      <x:c r="B28" s="41" t="str">
        <x:v>Mathématiques</x:v>
      </x:c>
      <x:c r="C28" s="41" t="str">
        <x:v>Résolution de problèmes</x:v>
      </x:c>
      <x:c r="D28" s="41" t="str">
        <x:v>CM1-MAT-PRO-01</x:v>
      </x:c>
      <x:c r="E28" s="41" t="str">
        <x:v>L'élève sera capable de modéliser et résoudre un problème en une ou plusieurs étapes</x:v>
      </x:c>
      <x:c r="F28" s="31" t="str">
        <x:v>Données utiles, opération, calcul et phrase-réponse cohérents</x:v>
      </x:c>
    </x:row>
    <x:row r="29" ht="65" customHeight="1">
      <x:c r="A29" s="30" t="str">
        <x:v>P1</x:v>
      </x:c>
      <x:c r="B29" s="41" t="str">
        <x:v>Mathématiques</x:v>
      </x:c>
      <x:c r="C29" s="41" t="str">
        <x:v>Algèbre</x:v>
      </x:c>
      <x:c r="D29" s="41" t="str">
        <x:v>CM1-MAT-ALG-01</x:v>
      </x:c>
      <x:c r="E29" s="41" t="str">
        <x:v>L'élève sera capable de utiliser schéma, symbole ou balance pour trouver une valeur inconnue</x:v>
      </x:c>
      <x:c r="F29" s="31" t="str">
        <x:v>Relation conservée et valeur vérifiée</x:v>
      </x:c>
    </x:row>
    <x:row r="30" ht="65" customHeight="1">
      <x:c r="A30" s="30" t="str">
        <x:v>P1</x:v>
      </x:c>
      <x:c r="B30" s="41" t="str">
        <x:v>Mathématiques</x:v>
      </x:c>
      <x:c r="C30" s="41" t="str">
        <x:v>Aires</x:v>
      </x:c>
      <x:c r="D30" s="41" t="str">
        <x:v>CM1-MAT-MES-02</x:v>
      </x:c>
      <x:c r="E30" s="41" t="str">
        <x:v>L'élève sera capable de comparer des surfaces puis exprimer une aire en cm²</x:v>
      </x:c>
      <x:c r="F30" s="31" t="str">
        <x:v>Procédure de pavage ou découpage correcte</x:v>
      </x:c>
    </x:row>
    <x:row r="31" ht="65" customHeight="1">
      <x:c r="A31" s="30" t="str">
        <x:v>P1</x:v>
      </x:c>
      <x:c r="B31" s="41" t="str">
        <x:v>Mathématiques</x:v>
      </x:c>
      <x:c r="C31" s="41" t="str">
        <x:v>Géométrie plane</x:v>
      </x:c>
      <x:c r="D31" s="41" t="str">
        <x:v>CM1-MAT-GEO-01</x:v>
      </x:c>
      <x:c r="E31" s="41" t="str">
        <x:v>L'élève sera capable de identifier puis tracer droites perpendiculaires et parallèles</x:v>
      </x:c>
      <x:c r="F31" s="31" t="str">
        <x:v>Tracé précis vérifié à l’équerre</x:v>
      </x:c>
    </x:row>
    <x:row r="32" ht="65" customHeight="1">
      <x:c r="A32" s="30" t="str">
        <x:v>P1</x:v>
      </x:c>
      <x:c r="B32" s="41" t="str">
        <x:v>Mathématiques</x:v>
      </x:c>
      <x:c r="C32" s="41" t="str">
        <x:v>Solides</x:v>
      </x:c>
      <x:c r="D32" s="41" t="str">
        <x:v>CM1-MAT-GEO-04</x:v>
      </x:c>
      <x:c r="E32" s="41" t="str">
        <x:v>L'élève sera capable de identifier faces, arêtes et sommets de solides usuels</x:v>
      </x:c>
      <x:c r="F32" s="31" t="str">
        <x:v>Description exacte d’au moins 4 solides sur 5</x:v>
      </x:c>
    </x:row>
    <x:row r="33" ht="65" customHeight="1">
      <x:c r="A33" s="30" t="str">
        <x:v>P1</x:v>
      </x:c>
      <x:c r="B33" s="41" t="str">
        <x:v>Mathématiques</x:v>
      </x:c>
      <x:c r="C33" s="41" t="str">
        <x:v>Données</x:v>
      </x:c>
      <x:c r="D33" s="41" t="str">
        <x:v>CM1-MAT-DON-01</x:v>
      </x:c>
      <x:c r="E33" s="41" t="str">
        <x:v>L'élève sera capable de recueillir des données et construire un tableau ou un diagramme en barres</x:v>
      </x:c>
      <x:c r="F33" s="31" t="str">
        <x:v>Titre, catégories, valeurs et échelle corrects</x:v>
      </x:c>
    </x:row>
    <x:row r="34" ht="65" customHeight="1">
      <x:c r="A34" s="30" t="str">
        <x:v>P1</x:v>
      </x:c>
      <x:c r="B34" s="41" t="str">
        <x:v>Histoire</x:v>
      </x:c>
      <x:c r="C34" s="41" t="str">
        <x:v>Méthodes</x:v>
      </x:c>
      <x:c r="D34" s="41" t="str">
        <x:v>CM1-HIS-MET-01</x:v>
      </x:c>
      <x:c r="E34" s="41" t="str">
        <x:v>L'élève sera capable de ordonner des événements et les situer sur une frise</x:v>
      </x:c>
      <x:c r="F34" s="31" t="str">
        <x:v>Événements placés dans l’ordre avec dates ou siècles corrects</x:v>
      </x:c>
    </x:row>
    <x:row r="35" ht="65" customHeight="1">
      <x:c r="A35" s="30" t="str">
        <x:v>P1</x:v>
      </x:c>
      <x:c r="B35" s="41" t="str">
        <x:v>Histoire</x:v>
      </x:c>
      <x:c r="C35" s="41" t="str">
        <x:v>Méthodes</x:v>
      </x:c>
      <x:c r="D35" s="41" t="str">
        <x:v>CM1-HIS-MET-02</x:v>
      </x:c>
      <x:c r="E35" s="41" t="str">
        <x:v>L'élève sera capable de identifier nature, auteur, date et information principale d’une source</x:v>
      </x:c>
      <x:c r="F35" s="31" t="str">
        <x:v>Fiche-source complète et distinction fait/interprétation</x:v>
      </x:c>
    </x:row>
    <x:row r="36" ht="65" customHeight="1">
      <x:c r="A36" s="30" t="str">
        <x:v>P1</x:v>
      </x:c>
      <x:c r="B36" s="41" t="str">
        <x:v>Histoire</x:v>
      </x:c>
      <x:c r="C36" s="41" t="str">
        <x:v>Moyen Âge</x:v>
      </x:c>
      <x:c r="D36" s="41" t="str">
        <x:v>CM1-HIS-01</x:v>
      </x:c>
      <x:c r="E36" s="41" t="str">
        <x:v>L'élève sera capable de décrire les conditions de vie de différents groupes entre XIe et XIIIe siècles</x:v>
      </x:c>
      <x:c r="F36" s="31" t="str">
        <x:v>Description illustrée par au moins deux sources</x:v>
      </x:c>
    </x:row>
    <x:row r="37" ht="65" customHeight="1">
      <x:c r="A37" s="30" t="str">
        <x:v>P1</x:v>
      </x:c>
      <x:c r="B37" s="41" t="str">
        <x:v>Géographie</x:v>
      </x:c>
      <x:c r="C37" s="41" t="str">
        <x:v>Méthodes</x:v>
      </x:c>
      <x:c r="D37" s="41" t="str">
        <x:v>CM1-GEO-MET-01</x:v>
      </x:c>
      <x:c r="E37" s="41" t="str">
        <x:v>L'élève sera capable de localiser un lieu à différentes échelles et utiliser légende et orientation</x:v>
      </x:c>
      <x:c r="F37" s="31" t="str">
        <x:v>Lieu correctement situé sur trois cartes emboîtées</x:v>
      </x:c>
    </x:row>
    <x:row r="38" ht="65" customHeight="1">
      <x:c r="A38" s="30" t="str">
        <x:v>P1</x:v>
      </x:c>
      <x:c r="B38" s="41" t="str">
        <x:v>Géographie</x:v>
      </x:c>
      <x:c r="C38" s="41" t="str">
        <x:v>Se nourrir</x:v>
      </x:c>
      <x:c r="D38" s="41" t="str">
        <x:v>CM1-GEO-01</x:v>
      </x:c>
      <x:c r="E38" s="41" t="str">
        <x:v>L'élève sera capable de décrire le parcours d’un produit de la production à la consommation</x:v>
      </x:c>
      <x:c r="F38" s="31" t="str">
        <x:v>Étapes, lieux et acteurs correctement ordonnés</x:v>
      </x:c>
    </x:row>
    <x:row r="39" ht="65" customHeight="1">
      <x:c r="A39" s="30" t="str">
        <x:v>P1</x:v>
      </x:c>
      <x:c r="B39" s="41" t="str">
        <x:v>Sciences et technologie</x:v>
      </x:c>
      <x:c r="C39" s="41" t="str">
        <x:v>Démarche scientifique</x:v>
      </x:c>
      <x:c r="D39" s="41" t="str">
        <x:v>CM1-SCI-DEM-01</x:v>
      </x:c>
      <x:c r="E39" s="41" t="str">
        <x:v>L'élève sera capable de formuler une question, proposer une hypothèse et concevoir un test</x:v>
      </x:c>
      <x:c r="F39" s="31" t="str">
        <x:v>Protocole réalisable avec variable observée et résultat consigné</x:v>
      </x:c>
    </x:row>
    <x:row r="40" ht="65" customHeight="1">
      <x:c r="A40" s="30" t="str">
        <x:v>P1</x:v>
      </x:c>
      <x:c r="B40" s="41" t="str">
        <x:v>Sciences et technologie</x:v>
      </x:c>
      <x:c r="C40" s="41" t="str">
        <x:v>Communication scientifique</x:v>
      </x:c>
      <x:c r="D40" s="41" t="str">
        <x:v>CM1-SCI-DEM-02</x:v>
      </x:c>
      <x:c r="E40" s="41" t="str">
        <x:v>L'élève sera capable de présenter observations et conclusion par texte, tableau, dessin ou graphique</x:v>
      </x:c>
      <x:c r="F40" s="31" t="str">
        <x:v>Trace légendée et conclusion reliée aux résultats</x:v>
      </x:c>
    </x:row>
    <x:row r="41" ht="65" customHeight="1">
      <x:c r="A41" s="30" t="str">
        <x:v>P1</x:v>
      </x:c>
      <x:c r="B41" s="41" t="str">
        <x:v>Sciences et technologie</x:v>
      </x:c>
      <x:c r="C41" s="41" t="str">
        <x:v>Matière</x:v>
      </x:c>
      <x:c r="D41" s="41" t="str">
        <x:v>CM1-SCI-MAT-01</x:v>
      </x:c>
      <x:c r="E41" s="41" t="str">
        <x:v>L'élève sera capable de distinguer solide, liquide et gaz et décrire un changement d’état</x:v>
      </x:c>
      <x:c r="F41" s="31" t="str">
        <x:v>État et transformation correctement nommés dans 4 cas sur 5</x:v>
      </x:c>
    </x:row>
    <x:row r="42" ht="65" customHeight="1">
      <x:c r="A42" s="30" t="str">
        <x:v>P1</x:v>
      </x:c>
      <x:c r="B42" s="41" t="str">
        <x:v>Sciences et technologie</x:v>
      </x:c>
      <x:c r="C42" s="41" t="str">
        <x:v>Matière</x:v>
      </x:c>
      <x:c r="D42" s="41" t="str">
        <x:v>CM1-SCI-MAT-02</x:v>
      </x:c>
      <x:c r="E42" s="41" t="str">
        <x:v>L'élève sera capable de séparer les constituants d’un mélange simple par une technique adaptée</x:v>
      </x:c>
      <x:c r="F42" s="31" t="str">
        <x:v>Technique choisie, mise en œuvre et justifiée</x:v>
      </x:c>
    </x:row>
    <x:row r="43" ht="65" customHeight="1">
      <x:c r="A43" s="30" t="str">
        <x:v>P1</x:v>
      </x:c>
      <x:c r="B43" s="41" t="str">
        <x:v>EMC</x:v>
      </x:c>
      <x:c r="C43" s="41" t="str">
        <x:v>Civisme et citoyenneté</x:v>
      </x:c>
      <x:c r="D43" s="41" t="str">
        <x:v>CM1-EMC-01</x:v>
      </x:c>
      <x:c r="E43" s="41" t="str">
        <x:v>L'élève sera capable de expliquer la finalité d’une règle et l’appliquer dans une situation réelle</x:v>
      </x:c>
      <x:c r="F43" s="31" t="str">
        <x:v>Règle reliée à la sécurité, au respect ou au travail collectif</x:v>
      </x:c>
    </x:row>
    <x:row r="44" ht="65" customHeight="1">
      <x:c r="A44" s="30" t="str">
        <x:v>P1</x:v>
      </x:c>
      <x:c r="B44" s="41" t="str">
        <x:v>EMC</x:v>
      </x:c>
      <x:c r="C44" s="41" t="str">
        <x:v>Civisme et citoyenneté</x:v>
      </x:c>
      <x:c r="D44" s="41" t="str">
        <x:v>CM1-EMC-02</x:v>
      </x:c>
      <x:c r="E44" s="41" t="str">
        <x:v>L'élève sera capable de tenir un rôle collectif et rendre compte de son action</x:v>
      </x:c>
      <x:c r="F44" s="31" t="str">
        <x:v>Tâche réalisée avec autonomie et bilan sincère</x:v>
      </x:c>
    </x:row>
    <x:row r="45" ht="65" customHeight="1">
      <x:c r="A45" s="30" t="str">
        <x:v>P1</x:v>
      </x:c>
      <x:c r="B45" s="41" t="str">
        <x:v>Anglais</x:v>
      </x:c>
      <x:c r="C45" s="41" t="str">
        <x:v>Compréhension orale</x:v>
      </x:c>
      <x:c r="D45" s="41" t="str">
        <x:v>CM1-ANG-CO-01</x:v>
      </x:c>
      <x:c r="E45" s="41" t="str">
        <x:v>L'élève sera capable de comprendre consignes, questions et messages courts sur des sujets familiers</x:v>
      </x:c>
      <x:c r="F45" s="31" t="str">
        <x:v>Action ou réponse adaptée sans traduction systématique</x:v>
      </x:c>
    </x:row>
    <x:row r="46" ht="65" customHeight="1">
      <x:c r="A46" s="30" t="str">
        <x:v>P1</x:v>
      </x:c>
      <x:c r="B46" s="41" t="str">
        <x:v>Anglais</x:v>
      </x:c>
      <x:c r="C46" s="41" t="str">
        <x:v>Parler en continu</x:v>
      </x:c>
      <x:c r="D46" s="41" t="str">
        <x:v>CM1-ANG-EOC-01</x:v>
      </x:c>
      <x:c r="E46" s="41" t="str">
        <x:v>L'élève sera capable de produire plusieurs phrases mémorisées pour parler de soi ou d’une personne</x:v>
      </x:c>
      <x:c r="F46" s="31" t="str">
        <x:v>Message compréhensible avec lexique et structures attendus</x:v>
      </x:c>
    </x:row>
    <x:row r="47" ht="65" customHeight="1">
      <x:c r="A47" s="30" t="str">
        <x:v>P1</x:v>
      </x:c>
      <x:c r="B47" s="41" t="str">
        <x:v>Anglais</x:v>
      </x:c>
      <x:c r="C47" s="41" t="str">
        <x:v>Réagir et dialoguer</x:v>
      </x:c>
      <x:c r="D47" s="41" t="str">
        <x:v>CM1-ANG-EOI-01</x:v>
      </x:c>
      <x:c r="E47" s="41" t="str">
        <x:v>L'élève sera capable de poser et répondre à des questions simples dans un échange préparé</x:v>
      </x:c>
      <x:c r="F47" s="31" t="str">
        <x:v>Au moins trois tours de parole pertinents</x:v>
      </x:c>
    </x:row>
    <x:row r="48" ht="65" customHeight="1">
      <x:c r="A48" s="30" t="str">
        <x:v>P1</x:v>
      </x:c>
      <x:c r="B48" s="41" t="str">
        <x:v>Anglais</x:v>
      </x:c>
      <x:c r="C48" s="41" t="str">
        <x:v>Phonologie</x:v>
      </x:c>
      <x:c r="D48" s="41" t="str">
        <x:v>CM1-ANG-PHO-01</x:v>
      </x:c>
      <x:c r="E48" s="41" t="str">
        <x:v>L'élève sera capable de reproduire rythme, accentuation et phonèmes travaillés</x:v>
      </x:c>
      <x:c r="F48" s="31" t="str">
        <x:v>Énoncé intelligible pour un auditeur habitué</x:v>
      </x:c>
    </x:row>
    <x:row r="49" ht="65" customHeight="1">
      <x:c r="A49" s="30" t="str">
        <x:v>P1</x:v>
      </x:c>
      <x:c r="B49" s="41" t="str">
        <x:v>Anglais</x:v>
      </x:c>
      <x:c r="C49" s="41" t="str">
        <x:v>Culture</x:v>
      </x:c>
      <x:c r="D49" s="41" t="str">
        <x:v>CM1-ANG-CUL-01</x:v>
      </x:c>
      <x:c r="E49" s="41" t="str">
        <x:v>L'élève sera capable de présenter un élément culturel du monde anglophone et le comparer à son environnement</x:v>
      </x:c>
      <x:c r="F49" s="31" t="str">
        <x:v>Repère exact et comparaison respectueuse</x:v>
      </x:c>
    </x:row>
    <x:row r="50" ht="65" customHeight="1">
      <x:c r="A50" s="30" t="str">
        <x:v>P1</x:v>
      </x:c>
      <x:c r="B50" s="41" t="str">
        <x:v>EPS</x:v>
      </x:c>
      <x:c r="C50" s="41" t="str">
        <x:v>Produire une performance</x:v>
      </x:c>
      <x:c r="D50" s="41" t="str">
        <x:v>CM1-EPS-PERF-01</x:v>
      </x:c>
      <x:c r="E50" s="41" t="str">
        <x:v>L'élève sera capable de adapter son allure et mesurer sa performance</x:v>
      </x:c>
      <x:c r="F50" s="31" t="str">
        <x:v>Projet annoncé, effort régulier et résultat mesuré</x:v>
      </x:c>
    </x:row>
    <x:row r="51" ht="65" customHeight="1">
      <x:c r="A51" s="30" t="str">
        <x:v>P1</x:v>
      </x:c>
      <x:c r="B51" s="41" t="str">
        <x:v>EPS</x:v>
      </x:c>
      <x:c r="C51" s="41" t="str">
        <x:v>Produire une performance</x:v>
      </x:c>
      <x:c r="D51" s="41" t="str">
        <x:v>CM1-EPS-PERF-02</x:v>
      </x:c>
      <x:c r="E51" s="41" t="str">
        <x:v>L'élève sera capable de choisir une technique et améliorer une performance mesurée</x:v>
      </x:c>
      <x:c r="F51" s="31" t="str">
        <x:v>Performance améliorée et règle de sécurité respectée</x:v>
      </x:c>
    </x:row>
    <x:row r="52" ht="65" customHeight="1">
      <x:c r="A52" s="30" t="str">
        <x:v>P1</x:v>
      </x:c>
      <x:c r="B52" s="41" t="str">
        <x:v>Enseignements artistiques</x:v>
      </x:c>
      <x:c r="C52" s="41" t="str">
        <x:v>Arts plastiques</x:v>
      </x:c>
      <x:c r="D52" s="41" t="str">
        <x:v>CM1-ART-AP-01</x:v>
      </x:c>
      <x:c r="E52" s="41" t="str">
        <x:v>L'élève sera capable de explorer plusieurs outils et matériaux pour répondre à une intention</x:v>
      </x:c>
      <x:c r="F52" s="31" t="str">
        <x:v>Choix plastiques variés et intention formulée</x:v>
      </x:c>
    </x:row>
    <x:row r="53" ht="65" customHeight="1">
      <x:c r="A53" s="30" t="str">
        <x:v>P1</x:v>
      </x:c>
      <x:c r="B53" s="41" t="str">
        <x:v>Enseignements artistiques</x:v>
      </x:c>
      <x:c r="C53" s="41" t="str">
        <x:v>Éducation musicale</x:v>
      </x:c>
      <x:c r="D53" s="41" t="str">
        <x:v>CM1-ART-MUS-01</x:v>
      </x:c>
      <x:c r="E53" s="41" t="str">
        <x:v>L'élève sera capable de tenir sa partie dans un chant collectif avec posture et justesse adaptées</x:v>
      </x:c>
      <x:c r="F53" s="31" t="str">
        <x:v>Entrées, rythme et paroles maîtrisés</x:v>
      </x:c>
    </x:row>
    <x:row r="54" ht="65" customHeight="1">
      <x:c r="A54" s="30" t="str">
        <x:v>P1</x:v>
      </x:c>
      <x:c r="B54" s="41" t="str">
        <x:v>Enseignements artistiques</x:v>
      </x:c>
      <x:c r="C54" s="41" t="str">
        <x:v>Histoire des arts</x:v>
      </x:c>
      <x:c r="D54" s="41" t="str">
        <x:v>CM1-ART-HDA-01</x:v>
      </x:c>
      <x:c r="E54" s="41" t="str">
        <x:v>L'élève sera capable de identifier une œuvre, son domaine, son époque et quelques caractéristiques</x:v>
      </x:c>
      <x:c r="F54" s="31" t="str">
        <x:v>Cartel simple exact et vocabulaire approprié</x:v>
      </x:c>
    </x:row>
    <x:row r="55" ht="65" customHeight="1">
      <x:c r="A55" s="30" t="str">
        <x:v>P2</x:v>
      </x:c>
      <x:c r="B55" s="41" t="str">
        <x:v>Français</x:v>
      </x:c>
      <x:c r="C55" s="41" t="str">
        <x:v>Compréhension</x:v>
      </x:c>
      <x:c r="D55" s="41" t="str">
        <x:v>CM1-FRA-LEC-04</x:v>
      </x:c>
      <x:c r="E55" s="41" t="str">
        <x:v>L'élève sera capable de prélever, classer et relier des informations dans un texte documentaire</x:v>
      </x:c>
      <x:c r="F55" s="31" t="str">
        <x:v>Informations pertinentes reportées dans un tableau ou une trace organisée</x:v>
      </x:c>
    </x:row>
    <x:row r="56" ht="65" customHeight="1">
      <x:c r="A56" s="30" t="str">
        <x:v>P2</x:v>
      </x:c>
      <x:c r="B56" s="41" t="str">
        <x:v>Français</x:v>
      </x:c>
      <x:c r="C56" s="41" t="str">
        <x:v>Compréhension</x:v>
      </x:c>
      <x:c r="D56" s="41" t="str">
        <x:v>CM1-FRA-LEC-05</x:v>
      </x:c>
      <x:c r="E56" s="41" t="str">
        <x:v>L'élève sera capable de expliquer ce que l’image répète, complète ou modifie dans un document</x:v>
      </x:c>
      <x:c r="F56" s="31" t="str">
        <x:v>Lien texte-image formulé et justifié</x:v>
      </x:c>
    </x:row>
    <x:row r="57" ht="65" customHeight="1">
      <x:c r="A57" s="30" t="str">
        <x:v>P2</x:v>
      </x:c>
      <x:c r="B57" s="41" t="str">
        <x:v>Français</x:v>
      </x:c>
      <x:c r="C57" s="41" t="str">
        <x:v>Production d’écrits</x:v>
      </x:c>
      <x:c r="D57" s="41" t="str">
        <x:v>CM1-FRA-ECR-04</x:v>
      </x:c>
      <x:c r="E57" s="41" t="str">
        <x:v>L'élève sera capable de rédiger une fiche documentaire organisée à partir de sources</x:v>
      </x:c>
      <x:c r="F57" s="31" t="str">
        <x:v>Titre, sous-titres, informations exactes et reformulées</x:v>
      </x:c>
    </x:row>
    <x:row r="58" ht="65" customHeight="1">
      <x:c r="A58" s="30" t="str">
        <x:v>P2</x:v>
      </x:c>
      <x:c r="B58" s="41" t="str">
        <x:v>Français</x:v>
      </x:c>
      <x:c r="C58" s="41" t="str">
        <x:v>Oral</x:v>
      </x:c>
      <x:c r="D58" s="41" t="str">
        <x:v>CM1-FRA-ORA-03</x:v>
      </x:c>
      <x:c r="E58" s="41" t="str">
        <x:v>L'élève sera capable de présenter un document ou un tableau en s’appuyant sur quelques notes</x:v>
      </x:c>
      <x:c r="F58" s="31" t="str">
        <x:v>Présentation structurée, audible et sans lecture intégrale</x:v>
      </x:c>
    </x:row>
    <x:row r="59" ht="65" customHeight="1">
      <x:c r="A59" s="30" t="str">
        <x:v>P2</x:v>
      </x:c>
      <x:c r="B59" s="41" t="str">
        <x:v>Français</x:v>
      </x:c>
      <x:c r="C59" s="41" t="str">
        <x:v>Vocabulaire</x:v>
      </x:c>
      <x:c r="D59" s="41" t="str">
        <x:v>CM1-FRA-VOC-03</x:v>
      </x:c>
      <x:c r="E59" s="41" t="str">
        <x:v>L'élève sera capable de utiliser synonymes, mots génériques et champs lexicaux pour préciser un écrit</x:v>
      </x:c>
      <x:c r="F59" s="31" t="str">
        <x:v>Au moins trois mots nouveaux réemployés à bon escient</x:v>
      </x:c>
    </x:row>
    <x:row r="60" ht="65" customHeight="1">
      <x:c r="A60" s="30" t="str">
        <x:v>P2</x:v>
      </x:c>
      <x:c r="B60" s="41" t="str">
        <x:v>Français</x:v>
      </x:c>
      <x:c r="C60" s="41" t="str">
        <x:v>Grammaire</x:v>
      </x:c>
      <x:c r="D60" s="41" t="str">
        <x:v>CM1-FRA-GRA-04</x:v>
      </x:c>
      <x:c r="E60" s="41" t="str">
        <x:v>L'élève sera capable de identifier groupe sujet, verbe conjugué, complément d’objet et groupe circonstanciel</x:v>
      </x:c>
      <x:c r="F60" s="31" t="str">
        <x:v>Fonctions correctement délimitées par manipulations syntaxiques</x:v>
      </x:c>
    </x:row>
    <x:row r="61" ht="65" customHeight="1">
      <x:c r="A61" s="30" t="str">
        <x:v>P2</x:v>
      </x:c>
      <x:c r="B61" s="41" t="str">
        <x:v>Français</x:v>
      </x:c>
      <x:c r="C61" s="41" t="str">
        <x:v>Orthographe grammaticale</x:v>
      </x:c>
      <x:c r="D61" s="41" t="str">
        <x:v>CM1-FRA-ORT-02</x:v>
      </x:c>
      <x:c r="E61" s="41" t="str">
        <x:v>L'élève sera capable de identifier le donneur d’accord et choisir la terminaison verbale</x:v>
      </x:c>
      <x:c r="F61" s="31" t="str">
        <x:v>Accord correct dans 8 phrases sur 10</x:v>
      </x:c>
    </x:row>
    <x:row r="62" ht="65" customHeight="1">
      <x:c r="A62" s="30" t="str">
        <x:v>P2</x:v>
      </x:c>
      <x:c r="B62" s="41" t="str">
        <x:v>Mathématiques</x:v>
      </x:c>
      <x:c r="C62" s="41" t="str">
        <x:v>Fractions</x:v>
      </x:c>
      <x:c r="D62" s="41" t="str">
        <x:v>CM1-MAT-FRA-04</x:v>
      </x:c>
      <x:c r="E62" s="41" t="str">
        <x:v>L'élève sera capable de relier dixièmes et centièmes à une mesure ou une demi-droite</x:v>
      </x:c>
      <x:c r="F62" s="31" t="str">
        <x:v>Fraction décimale correctement placée et décomposée</x:v>
      </x:c>
    </x:row>
    <x:row r="63" ht="65" customHeight="1">
      <x:c r="A63" s="30" t="str">
        <x:v>P2</x:v>
      </x:c>
      <x:c r="B63" s="41" t="str">
        <x:v>Mathématiques</x:v>
      </x:c>
      <x:c r="C63" s="41" t="str">
        <x:v>Nombres décimaux</x:v>
      </x:c>
      <x:c r="D63" s="41" t="str">
        <x:v>CM1-MAT-DEC-01</x:v>
      </x:c>
      <x:c r="E63" s="41" t="str">
        <x:v>L'élève sera capable de écrire un nombre en fraction décimale, décomposition et écriture à virgule</x:v>
      </x:c>
      <x:c r="F63" s="31" t="str">
        <x:v>Trois écritures équivalentes exactes dans 4 cas sur 5</x:v>
      </x:c>
    </x:row>
    <x:row r="64" ht="65" customHeight="1">
      <x:c r="A64" s="30" t="str">
        <x:v>P2</x:v>
      </x:c>
      <x:c r="B64" s="41" t="str">
        <x:v>Mathématiques</x:v>
      </x:c>
      <x:c r="C64" s="41" t="str">
        <x:v>Calcul mental</x:v>
      </x:c>
      <x:c r="D64" s="41" t="str">
        <x:v>CM1-MAT-CAL-02</x:v>
      </x:c>
      <x:c r="E64" s="41" t="str">
        <x:v>L'élève sera capable de multiplier ou diviser par 10, 100 ou 1 000 selon les nombres étudiés</x:v>
      </x:c>
      <x:c r="F64" s="31" t="str">
        <x:v>8 calculs exacts sur 10 et procédure expliquée</x:v>
      </x:c>
    </x:row>
    <x:row r="65" ht="65" customHeight="1">
      <x:c r="A65" s="30" t="str">
        <x:v>P2</x:v>
      </x:c>
      <x:c r="B65" s="41" t="str">
        <x:v>Mathématiques</x:v>
      </x:c>
      <x:c r="C65" s="41" t="str">
        <x:v>Calcul mental</x:v>
      </x:c>
      <x:c r="D65" s="41" t="str">
        <x:v>CM1-MAT-CAL-03</x:v>
      </x:c>
      <x:c r="E65" s="41" t="str">
        <x:v>L'élève sera capable de calculer mentalement en utilisant décomposition, distributivité, doubles ou compléments</x:v>
      </x:c>
      <x:c r="F65" s="31" t="str">
        <x:v>Procédure correcte, expliquée et plus efficace qu’un calcul posé</x:v>
      </x:c>
    </x:row>
    <x:row r="66" ht="65" customHeight="1">
      <x:c r="A66" s="30" t="str">
        <x:v>P2</x:v>
      </x:c>
      <x:c r="B66" s="41" t="str">
        <x:v>Mathématiques</x:v>
      </x:c>
      <x:c r="C66" s="41" t="str">
        <x:v>Opérations</x:v>
      </x:c>
      <x:c r="D66" s="41" t="str">
        <x:v>CM1-MAT-OPE-02</x:v>
      </x:c>
      <x:c r="E66" s="41" t="str">
        <x:v>L'élève sera capable de poser et effectuer addition et soustraction de décimaux</x:v>
      </x:c>
      <x:c r="F66" s="31" t="str">
        <x:v>Virgules alignées et résultat exact dans 4 cas sur 5</x:v>
      </x:c>
    </x:row>
    <x:row r="67" ht="65" customHeight="1">
      <x:c r="A67" s="30" t="str">
        <x:v>P2</x:v>
      </x:c>
      <x:c r="B67" s="41" t="str">
        <x:v>Mathématiques</x:v>
      </x:c>
      <x:c r="C67" s="41" t="str">
        <x:v>Opérations</x:v>
      </x:c>
      <x:c r="D67" s="41" t="str">
        <x:v>CM1-MAT-OPE-03</x:v>
      </x:c>
      <x:c r="E67" s="41" t="str">
        <x:v>L'élève sera capable de poser et effectuer une multiplication d’entiers puis d’un décimal par un petit entier</x:v>
      </x:c>
      <x:c r="F67" s="31" t="str">
        <x:v>Technique correcte et résultat contrôlé par estimation</x:v>
      </x:c>
    </x:row>
    <x:row r="68" ht="65" customHeight="1">
      <x:c r="A68" s="30" t="str">
        <x:v>P2</x:v>
      </x:c>
      <x:c r="B68" s="41" t="str">
        <x:v>Mathématiques</x:v>
      </x:c>
      <x:c r="C68" s="41" t="str">
        <x:v>Données</x:v>
      </x:c>
      <x:c r="D68" s="41" t="str">
        <x:v>CM1-MAT-DON-02</x:v>
      </x:c>
      <x:c r="E68" s="41" t="str">
        <x:v>L'élève sera capable de répondre à une question à partir d’un tableau, diagramme ou courbe</x:v>
      </x:c>
      <x:c r="F68" s="31" t="str">
        <x:v>Donnée correctement prélevée et calcul pertinent</x:v>
      </x:c>
    </x:row>
    <x:row r="69" ht="65" customHeight="1">
      <x:c r="A69" s="30" t="str">
        <x:v>P2</x:v>
      </x:c>
      <x:c r="B69" s="41" t="str">
        <x:v>Histoire</x:v>
      </x:c>
      <x:c r="C69" s="41" t="str">
        <x:v>Monarchie</x:v>
      </x:c>
      <x:c r="D69" s="41" t="str">
        <x:v>CM1-HIS-02</x:v>
      </x:c>
      <x:c r="E69" s="41" t="str">
        <x:v>L'élève sera capable de expliquer comment le pouvoir royal s’affirme aux XVIe et XVIIe siècles</x:v>
      </x:c>
      <x:c r="F69" s="31" t="str">
        <x:v>Deux moyens d’affirmation du pouvoir correctement expliqués</x:v>
      </x:c>
    </x:row>
    <x:row r="70" ht="65" customHeight="1">
      <x:c r="A70" s="30" t="str">
        <x:v>P2</x:v>
      </x:c>
      <x:c r="B70" s="41" t="str">
        <x:v>Géographie</x:v>
      </x:c>
      <x:c r="C70" s="41" t="str">
        <x:v>Se nourrir</x:v>
      </x:c>
      <x:c r="D70" s="41" t="str">
        <x:v>CM1-GEO-02</x:v>
      </x:c>
      <x:c r="E70" s="41" t="str">
        <x:v>L'élève sera capable de comparer deux territoires et leurs pratiques alimentaires</x:v>
      </x:c>
      <x:c r="F70" s="31" t="str">
        <x:v>Deux ressemblances et deux différences justifiées</x:v>
      </x:c>
    </x:row>
    <x:row r="71" ht="65" customHeight="1">
      <x:c r="A71" s="30" t="str">
        <x:v>P2</x:v>
      </x:c>
      <x:c r="B71" s="41" t="str">
        <x:v>Sciences et technologie</x:v>
      </x:c>
      <x:c r="C71" s="41" t="str">
        <x:v>Mouvements</x:v>
      </x:c>
      <x:c r="D71" s="41" t="str">
        <x:v>CM1-SCI-MOU-01</x:v>
      </x:c>
      <x:c r="E71" s="41" t="str">
        <x:v>L'élève sera capable de décrire trajectoire et évolution de la vitesse relativement à un repère</x:v>
      </x:c>
      <x:c r="F71" s="31" t="str">
        <x:v>Vocabulaire exact et représentation cohérente</x:v>
      </x:c>
    </x:row>
    <x:row r="72" ht="65" customHeight="1">
      <x:c r="A72" s="30" t="str">
        <x:v>P2</x:v>
      </x:c>
      <x:c r="B72" s="41" t="str">
        <x:v>Sciences et technologie</x:v>
      </x:c>
      <x:c r="C72" s="41" t="str">
        <x:v>Signaux</x:v>
      </x:c>
      <x:c r="D72" s="41" t="str">
        <x:v>CM1-SCI-SIG-01</x:v>
      </x:c>
      <x:c r="E72" s="41" t="str">
        <x:v>L'élève sera capable de associer signal sonore, lumineux ou autre à une information et un usage</x:v>
      </x:c>
      <x:c r="F72" s="31" t="str">
        <x:v>Signal, émetteur, récepteur et information identifiés</x:v>
      </x:c>
    </x:row>
    <x:row r="73" ht="65" customHeight="1">
      <x:c r="A73" s="30" t="str">
        <x:v>P2</x:v>
      </x:c>
      <x:c r="B73" s="41" t="str">
        <x:v>EMC</x:v>
      </x:c>
      <x:c r="C73" s="41" t="str">
        <x:v>Égalité et dignité</x:v>
      </x:c>
      <x:c r="D73" s="41" t="str">
        <x:v>CM1-EMC-03</x:v>
      </x:c>
      <x:c r="E73" s="41" t="str">
        <x:v>L'élève sera capable de identifier une situation discriminatoire et expliquer pourquoi elle est contraire à l’égalité</x:v>
      </x:c>
      <x:c r="F73" s="31" t="str">
        <x:v>Principe mobilisé et réponse respectueuse proposée</x:v>
      </x:c>
    </x:row>
    <x:row r="74" ht="65" customHeight="1">
      <x:c r="A74" s="30" t="str">
        <x:v>P2</x:v>
      </x:c>
      <x:c r="B74" s="41" t="str">
        <x:v>Anglais</x:v>
      </x:c>
      <x:c r="C74" s="41" t="str">
        <x:v>Lire et comprendre</x:v>
      </x:c>
      <x:c r="D74" s="41" t="str">
        <x:v>CM1-ANG-CE-01</x:v>
      </x:c>
      <x:c r="E74" s="41" t="str">
        <x:v>L'élève sera capable de repérer thème et informations explicites dans un texte simple</x:v>
      </x:c>
      <x:c r="F74" s="31" t="str">
        <x:v>Informations exactes associées au bon support</x:v>
      </x:c>
    </x:row>
    <x:row r="75" ht="65" customHeight="1">
      <x:c r="A75" s="30" t="str">
        <x:v>P2</x:v>
      </x:c>
      <x:c r="B75" s="41" t="str">
        <x:v>Anglais</x:v>
      </x:c>
      <x:c r="C75" s="41" t="str">
        <x:v>Écrire</x:v>
      </x:c>
      <x:c r="D75" s="41" t="str">
        <x:v>CM1-ANG-EE-01</x:v>
      </x:c>
      <x:c r="E75" s="41" t="str">
        <x:v>L'élève sera capable de produire quelques phrases simples sur un sujet familier</x:v>
      </x:c>
      <x:c r="F75" s="31" t="str">
        <x:v>Phrases compréhensibles et modèle adapté</x:v>
      </x:c>
    </x:row>
    <x:row r="76" ht="65" customHeight="1">
      <x:c r="A76" s="30" t="str">
        <x:v>P2</x:v>
      </x:c>
      <x:c r="B76" s="41" t="str">
        <x:v>EPS</x:v>
      </x:c>
      <x:c r="C76" s="41" t="str">
        <x:v>Coopérer et s’opposer</x:v>
      </x:c>
      <x:c r="D76" s="41" t="str">
        <x:v>CM1-EPS-JEU-01</x:v>
      </x:c>
      <x:c r="E76" s="41" t="str">
        <x:v>L'élève sera capable de se démarquer, passer ou tirer selon la situation</x:v>
      </x:c>
      <x:c r="F76" s="31" t="str">
        <x:v>Choix pertinent dans plusieurs situations de jeu</x:v>
      </x:c>
    </x:row>
    <x:row r="77" ht="65" customHeight="1">
      <x:c r="A77" s="30" t="str">
        <x:v>P2</x:v>
      </x:c>
      <x:c r="B77" s="41" t="str">
        <x:v>EPS</x:v>
      </x:c>
      <x:c r="C77" s="41" t="str">
        <x:v>Coopérer et s’opposer</x:v>
      </x:c>
      <x:c r="D77" s="41" t="str">
        <x:v>CM1-EPS-JEU-02</x:v>
      </x:c>
      <x:c r="E77" s="41" t="str">
        <x:v>L'élève sera capable de tenir les rôles de joueur, arbitre et observateur</x:v>
      </x:c>
      <x:c r="F77" s="31" t="str">
        <x:v>Décisions cohérentes et comportement respectueux</x:v>
      </x:c>
    </x:row>
    <x:row r="78" ht="65" customHeight="1">
      <x:c r="A78" s="30" t="str">
        <x:v>P2</x:v>
      </x:c>
      <x:c r="B78" s="41" t="str">
        <x:v>Enseignements artistiques</x:v>
      </x:c>
      <x:c r="C78" s="41" t="str">
        <x:v>Arts plastiques</x:v>
      </x:c>
      <x:c r="D78" s="41" t="str">
        <x:v>CM1-ART-AP-02</x:v>
      </x:c>
      <x:c r="E78" s="41" t="str">
        <x:v>L'élève sera capable de planifier, réaliser et présenter une production individuelle ou collective</x:v>
      </x:c>
      <x:c r="F78" s="31" t="str">
        <x:v>Étapes respectées et production menée à terme</x:v>
      </x:c>
    </x:row>
    <x:row r="79" ht="65" customHeight="1">
      <x:c r="A79" s="30" t="str">
        <x:v>P2</x:v>
      </x:c>
      <x:c r="B79" s="41" t="str">
        <x:v>Enseignements artistiques</x:v>
      </x:c>
      <x:c r="C79" s="41" t="str">
        <x:v>Éducation musicale</x:v>
      </x:c>
      <x:c r="D79" s="41" t="str">
        <x:v>CM1-ART-MUS-02</x:v>
      </x:c>
      <x:c r="E79" s="41" t="str">
        <x:v>L'élève sera capable de repérer ressemblances et différences entre deux extraits</x:v>
      </x:c>
      <x:c r="F79" s="31" t="str">
        <x:v>Deux critères musicaux mobilisés dans la comparaison</x:v>
      </x:c>
    </x:row>
    <x:row r="80" ht="65" customHeight="1">
      <x:c r="A80" s="30" t="str">
        <x:v>P3</x:v>
      </x:c>
      <x:c r="B80" s="41" t="str">
        <x:v>Français</x:v>
      </x:c>
      <x:c r="C80" s="41" t="str">
        <x:v>Compréhension</x:v>
      </x:c>
      <x:c r="D80" s="41" t="str">
        <x:v>CM1-FRA-LEC-06</x:v>
      </x:c>
      <x:c r="E80" s="41" t="str">
        <x:v>L'élève sera capable de déduire le sens d’un mot à partir du contexte et de sa morphologie</x:v>
      </x:c>
      <x:c r="F80" s="31" t="str">
        <x:v>Hypothèse cohérente puis vérifiée dans un outil de référence</x:v>
      </x:c>
    </x:row>
    <x:row r="81" ht="65" customHeight="1">
      <x:c r="A81" s="30" t="str">
        <x:v>P3</x:v>
      </x:c>
      <x:c r="B81" s="41" t="str">
        <x:v>Français</x:v>
      </x:c>
      <x:c r="C81" s="41" t="str">
        <x:v>Production d’écrits</x:v>
      </x:c>
      <x:c r="D81" s="41" t="str">
        <x:v>CM1-FRA-ECR-05</x:v>
      </x:c>
      <x:c r="E81" s="41" t="str">
        <x:v>L'élève sera capable de écrire un poème en respectant une contrainte choisie</x:v>
      </x:c>
      <x:c r="F81" s="31" t="str">
        <x:v>Contrainte visible et vocabulaire évocateur</x:v>
      </x:c>
    </x:row>
    <x:row r="82" ht="65" customHeight="1">
      <x:c r="A82" s="30" t="str">
        <x:v>P3</x:v>
      </x:c>
      <x:c r="B82" s="41" t="str">
        <x:v>Français</x:v>
      </x:c>
      <x:c r="C82" s="41" t="str">
        <x:v>Grammaire</x:v>
      </x:c>
      <x:c r="D82" s="41" t="str">
        <x:v>CM1-FRA-GRA-06</x:v>
      </x:c>
      <x:c r="E82" s="41" t="str">
        <x:v>L'élève sera capable de distinguer pronoms personnels sujets/compléments, adverbes fréquents et conjonctions de coordination</x:v>
      </x:c>
      <x:c r="F82" s="31" t="str">
        <x:v>Classe grammaticale justifiée dans 8 cas sur 10</x:v>
      </x:c>
    </x:row>
    <x:row r="83" ht="65" customHeight="1">
      <x:c r="A83" s="30" t="str">
        <x:v>P3</x:v>
      </x:c>
      <x:c r="B83" s="41" t="str">
        <x:v>Français</x:v>
      </x:c>
      <x:c r="C83" s="41" t="str">
        <x:v>Orthographe grammaticale</x:v>
      </x:c>
      <x:c r="D83" s="41" t="str">
        <x:v>CM1-FRA-ORT-03</x:v>
      </x:c>
      <x:c r="E83" s="41" t="str">
        <x:v>L'élève sera capable de choisir entre a/as/à, et/est, on/ont, son/sont selon la syntaxe</x:v>
      </x:c>
      <x:c r="F83" s="31" t="str">
        <x:v>Choix justifié par remplacement dans 8 cas sur 10</x:v>
      </x:c>
    </x:row>
    <x:row r="84" ht="65" customHeight="1">
      <x:c r="A84" s="30" t="str">
        <x:v>P3</x:v>
      </x:c>
      <x:c r="B84" s="41" t="str">
        <x:v>Français</x:v>
      </x:c>
      <x:c r="C84" s="41" t="str">
        <x:v>Conjugaison</x:v>
      </x:c>
      <x:c r="D84" s="41" t="str">
        <x:v>CM1-FRA-CON-02</x:v>
      </x:c>
      <x:c r="E84" s="41" t="str">
        <x:v>L'élève sera capable de conjuguer à l’imparfait les verbes du CM1 et repérer marques de temps/personne</x:v>
      </x:c>
      <x:c r="F84" s="31" t="str">
        <x:v>8 formes correctes sur 10</x:v>
      </x:c>
    </x:row>
    <x:row r="85" ht="65" customHeight="1">
      <x:c r="A85" s="30" t="str">
        <x:v>P3</x:v>
      </x:c>
      <x:c r="B85" s="41" t="str">
        <x:v>Mathématiques</x:v>
      </x:c>
      <x:c r="C85" s="41" t="str">
        <x:v>Nombres décimaux</x:v>
      </x:c>
      <x:c r="D85" s="41" t="str">
        <x:v>CM1-MAT-DEC-02</x:v>
      </x:c>
      <x:c r="E85" s="41" t="str">
        <x:v>L'élève sera capable de comparer, ranger et encadrer des décimaux jusqu’aux centièmes</x:v>
      </x:c>
      <x:c r="F85" s="31" t="str">
        <x:v>8 comparaisons ou encadrements corrects sur 10</x:v>
      </x:c>
    </x:row>
    <x:row r="86" ht="65" customHeight="1">
      <x:c r="A86" s="30" t="str">
        <x:v>P3</x:v>
      </x:c>
      <x:c r="B86" s="41" t="str">
        <x:v>Mathématiques</x:v>
      </x:c>
      <x:c r="C86" s="41" t="str">
        <x:v>Opérations</x:v>
      </x:c>
      <x:c r="D86" s="41" t="str">
        <x:v>CM1-MAT-OPE-04</x:v>
      </x:c>
      <x:c r="E86" s="41" t="str">
        <x:v>L'élève sera capable de poser et effectuer une division par un diviseur à un chiffre</x:v>
      </x:c>
      <x:c r="F86" s="31" t="str">
        <x:v>Quotient et reste exacts, égalité de vérification écrite</x:v>
      </x:c>
    </x:row>
    <x:row r="87" ht="65" customHeight="1">
      <x:c r="A87" s="30" t="str">
        <x:v>P3</x:v>
      </x:c>
      <x:c r="B87" s="41" t="str">
        <x:v>Mathématiques</x:v>
      </x:c>
      <x:c r="C87" s="41" t="str">
        <x:v>Résolution de problèmes</x:v>
      </x:c>
      <x:c r="D87" s="41" t="str">
        <x:v>CM1-MAT-PRO-02</x:v>
      </x:c>
      <x:c r="E87" s="41" t="str">
        <x:v>L'élève sera capable de utiliser un raisonnement de linéarité formulé en langage naturel</x:v>
      </x:c>
      <x:c r="F87" s="31" t="str">
        <x:v>Relation multiplicative explicitée sans produit en croix</x:v>
      </x:c>
    </x:row>
    <x:row r="88" ht="65" customHeight="1">
      <x:c r="A88" s="30" t="str">
        <x:v>P3</x:v>
      </x:c>
      <x:c r="B88" s="41" t="str">
        <x:v>Mathématiques</x:v>
      </x:c>
      <x:c r="C88" s="41" t="str">
        <x:v>Algèbre</x:v>
      </x:c>
      <x:c r="D88" s="41" t="str">
        <x:v>CM1-MAT-ALG-02</x:v>
      </x:c>
      <x:c r="E88" s="41" t="str">
        <x:v>L'élève sera capable de poursuivre une suite de nombres ou un motif en formulant la règle</x:v>
      </x:c>
      <x:c r="F88" s="31" t="str">
        <x:v>Règle correcte appliquée à au moins deux nouveaux termes</x:v>
      </x:c>
    </x:row>
    <x:row r="89" ht="65" customHeight="1">
      <x:c r="A89" s="30" t="str">
        <x:v>P3</x:v>
      </x:c>
      <x:c r="B89" s="41" t="str">
        <x:v>Mathématiques</x:v>
      </x:c>
      <x:c r="C89" s="41" t="str">
        <x:v>Longueurs et périmètres</x:v>
      </x:c>
      <x:c r="D89" s="41" t="str">
        <x:v>CM1-MAT-MES-01</x:v>
      </x:c>
      <x:c r="E89" s="41" t="str">
        <x:v>L'élève sera capable de choisir une unité, mesurer, convertir et résoudre un problème de périmètre</x:v>
      </x:c>
      <x:c r="F89" s="31" t="str">
        <x:v>Unité adaptée, conversion et résultat exacts</x:v>
      </x:c>
    </x:row>
    <x:row r="90" ht="65" customHeight="1">
      <x:c r="A90" s="30" t="str">
        <x:v>P3</x:v>
      </x:c>
      <x:c r="B90" s="41" t="str">
        <x:v>Mathématiques</x:v>
      </x:c>
      <x:c r="C90" s="41" t="str">
        <x:v>Repérage dans l’espace</x:v>
      </x:c>
      <x:c r="D90" s="41" t="str">
        <x:v>CM1-MAT-ESP-01</x:v>
      </x:c>
      <x:c r="E90" s="41" t="str">
        <x:v>L'élève sera capable de coder, exécuter et corriger un déplacement sur plan ou quadrillage</x:v>
      </x:c>
      <x:c r="F90" s="31" t="str">
        <x:v>Destination atteinte et instructions non ambiguës</x:v>
      </x:c>
    </x:row>
    <x:row r="91" ht="65" customHeight="1">
      <x:c r="A91" s="30" t="str">
        <x:v>P3</x:v>
      </x:c>
      <x:c r="B91" s="41" t="str">
        <x:v>Géographie</x:v>
      </x:c>
      <x:c r="C91" s="41" t="str">
        <x:v>Inégalités</x:v>
      </x:c>
      <x:c r="D91" s="41" t="str">
        <x:v>CM1-GEO-03</x:v>
      </x:c>
      <x:c r="E91" s="41" t="str">
        <x:v>L'élève sera capable de interpréter cartes et indicateurs simples sur l’accès à un besoin essentiel</x:v>
      </x:c>
      <x:c r="F91" s="31" t="str">
        <x:v>Conclusion fidèle aux données et vocabulaire adapté</x:v>
      </x:c>
    </x:row>
    <x:row r="92" ht="65" customHeight="1">
      <x:c r="A92" s="30" t="str">
        <x:v>P3</x:v>
      </x:c>
      <x:c r="B92" s="41" t="str">
        <x:v>Sciences et technologie</x:v>
      </x:c>
      <x:c r="C92" s="41" t="str">
        <x:v>Vivant</x:v>
      </x:c>
      <x:c r="D92" s="41" t="str">
        <x:v>CM1-SCI-VIV-01</x:v>
      </x:c>
      <x:c r="E92" s="41" t="str">
        <x:v>L'élève sera capable de classer des êtres vivants selon des caractères partagés</x:v>
      </x:c>
      <x:c r="F92" s="31" t="str">
        <x:v>Groupes emboîtés cohérents et caractères explicités</x:v>
      </x:c>
    </x:row>
    <x:row r="93" ht="65" customHeight="1">
      <x:c r="A93" s="30" t="str">
        <x:v>P3</x:v>
      </x:c>
      <x:c r="B93" s="41" t="str">
        <x:v>Sciences et technologie</x:v>
      </x:c>
      <x:c r="C93" s="41" t="str">
        <x:v>Vivant</x:v>
      </x:c>
      <x:c r="D93" s="41" t="str">
        <x:v>CM1-SCI-VIV-02</x:v>
      </x:c>
      <x:c r="E93" s="41" t="str">
        <x:v>L'élève sera capable de décrire les étapes du développement d’un être vivant</x:v>
      </x:c>
      <x:c r="F93" s="31" t="str">
        <x:v>Cycle ordonné et conditions essentielles identifiées</x:v>
      </x:c>
    </x:row>
    <x:row r="94" ht="65" customHeight="1">
      <x:c r="A94" s="30" t="str">
        <x:v>P3</x:v>
      </x:c>
      <x:c r="B94" s="41" t="str">
        <x:v>EMC</x:v>
      </x:c>
      <x:c r="C94" s="41" t="str">
        <x:v>Débat démocratique</x:v>
      </x:c>
      <x:c r="D94" s="41" t="str">
        <x:v>CM1-EMC-04</x:v>
      </x:c>
      <x:c r="E94" s="41" t="str">
        <x:v>L'élève sera capable de formuler une opinion, donner une raison et écouter un désaccord</x:v>
      </x:c>
      <x:c r="F94" s="31" t="str">
        <x:v>Opinion et argument distingués, reformulation fidèle</x:v>
      </x:c>
    </x:row>
    <x:row r="95" ht="65" customHeight="1">
      <x:c r="A95" s="30" t="str">
        <x:v>P3</x:v>
      </x:c>
      <x:c r="B95" s="41" t="str">
        <x:v>EPS</x:v>
      </x:c>
      <x:c r="C95" s="41" t="str">
        <x:v>Adapter ses déplacements</x:v>
      </x:c>
      <x:c r="D95" s="41" t="str">
        <x:v>CM1-EPS-ADAP-01</x:v>
      </x:c>
      <x:c r="E95" s="41" t="str">
        <x:v>L'élève sera capable de réaliser un parcours en adaptant appuis, vitesse et trajectoire</x:v>
      </x:c>
      <x:c r="F95" s="31" t="str">
        <x:v>Parcours réalisé sans mise en danger</x:v>
      </x:c>
    </x:row>
    <x:row r="96" ht="65" customHeight="1">
      <x:c r="A96" s="30" t="str">
        <x:v>P3</x:v>
      </x:c>
      <x:c r="B96" s="41" t="str">
        <x:v>Enseignements artistiques</x:v>
      </x:c>
      <x:c r="C96" s="41" t="str">
        <x:v>Arts plastiques</x:v>
      </x:c>
      <x:c r="D96" s="41" t="str">
        <x:v>CM1-ART-AP-03</x:v>
      </x:c>
      <x:c r="E96" s="41" t="str">
        <x:v>L'élève sera capable de décrire une production avec un vocabulaire plastique précis</x:v>
      </x:c>
      <x:c r="F96" s="31" t="str">
        <x:v>Au moins trois caractéristiques observées et reliées à un effet</x:v>
      </x:c>
    </x:row>
    <x:row r="97" ht="65" customHeight="1">
      <x:c r="A97" s="30" t="str">
        <x:v>P3</x:v>
      </x:c>
      <x:c r="B97" s="41" t="str">
        <x:v>Enseignements artistiques</x:v>
      </x:c>
      <x:c r="C97" s="41" t="str">
        <x:v>Éducation musicale</x:v>
      </x:c>
      <x:c r="D97" s="41" t="str">
        <x:v>CM1-ART-MUS-03</x:v>
      </x:c>
      <x:c r="E97" s="41" t="str">
        <x:v>L'élève sera capable de organiser des sons pour produire une courte création</x:v>
      </x:c>
      <x:c r="F97" s="31" t="str">
        <x:v>Organisation reproductible et intention expliquée</x:v>
      </x:c>
    </x:row>
    <x:row r="98" ht="65" customHeight="1">
      <x:c r="A98" s="30" t="str">
        <x:v>P4</x:v>
      </x:c>
      <x:c r="B98" s="41" t="str">
        <x:v>Français</x:v>
      </x:c>
      <x:c r="C98" s="41" t="str">
        <x:v>Compréhension</x:v>
      </x:c>
      <x:c r="D98" s="41" t="str">
        <x:v>CM1-FRA-LEC-07</x:v>
      </x:c>
      <x:c r="E98" s="41" t="str">
        <x:v>L'élève sera capable de repérer les liens chronologiques et logiques entre plusieurs informations</x:v>
      </x:c>
      <x:c r="F98" s="31" t="str">
        <x:v>Connecteurs repérés et enchaînement reformulé correctement</x:v>
      </x:c>
    </x:row>
    <x:row r="99" ht="65" customHeight="1">
      <x:c r="A99" s="30" t="str">
        <x:v>P4</x:v>
      </x:c>
      <x:c r="B99" s="41" t="str">
        <x:v>Français</x:v>
      </x:c>
      <x:c r="C99" s="41" t="str">
        <x:v>Production d’écrits</x:v>
      </x:c>
      <x:c r="D99" s="41" t="str">
        <x:v>CM1-FRA-ECR-06</x:v>
      </x:c>
      <x:c r="E99" s="41" t="str">
        <x:v>L'élève sera capable de écrire le début d’un roman en installant cadre, personnage et problème</x:v>
      </x:c>
      <x:c r="F99" s="31" t="str">
        <x:v>Situation initiale compréhensible et cohérente</x:v>
      </x:c>
    </x:row>
    <x:row r="100" ht="65" customHeight="1">
      <x:c r="A100" s="30" t="str">
        <x:v>P4</x:v>
      </x:c>
      <x:c r="B100" s="41" t="str">
        <x:v>Français</x:v>
      </x:c>
      <x:c r="C100" s="41" t="str">
        <x:v>Grammaire</x:v>
      </x:c>
      <x:c r="D100" s="41" t="str">
        <x:v>CM1-FRA-GRA-05</x:v>
      </x:c>
      <x:c r="E100" s="41" t="str">
        <x:v>L'élève sera capable de identifier COD et COI dans des phrases prototypiques</x:v>
      </x:c>
      <x:c r="F100" s="31" t="str">
        <x:v>Question, déplacement ou pronominalisation utilisés pour justifier</x:v>
      </x:c>
    </x:row>
    <x:row r="101" ht="65" customHeight="1">
      <x:c r="A101" s="30" t="str">
        <x:v>P4</x:v>
      </x:c>
      <x:c r="B101" s="41" t="str">
        <x:v>Français</x:v>
      </x:c>
      <x:c r="C101" s="41" t="str">
        <x:v>Conjugaison</x:v>
      </x:c>
      <x:c r="D101" s="41" t="str">
        <x:v>CM1-FRA-CON-03</x:v>
      </x:c>
      <x:c r="E101" s="41" t="str">
        <x:v>L'élève sera capable de conjuguer au futur les verbes du CM1 en identifiant la marque -r-</x:v>
      </x:c>
      <x:c r="F101" s="31" t="str">
        <x:v>8 formes correctes sur 10</x:v>
      </x:c>
    </x:row>
    <x:row r="102" ht="65" customHeight="1">
      <x:c r="A102" s="30" t="str">
        <x:v>P4</x:v>
      </x:c>
      <x:c r="B102" s="41" t="str">
        <x:v>Mathématiques</x:v>
      </x:c>
      <x:c r="C102" s="41" t="str">
        <x:v>Figures planes</x:v>
      </x:c>
      <x:c r="D102" s="41" t="str">
        <x:v>CM1-MAT-GEO-02</x:v>
      </x:c>
      <x:c r="E102" s="41" t="str">
        <x:v>L'élève sera capable de décrire et construire cercle, triangle et quadrilatère avec instruments</x:v>
      </x:c>
      <x:c r="F102" s="31" t="str">
        <x:v>Programme respecté et propriétés vérifiées</x:v>
      </x:c>
    </x:row>
    <x:row r="103" ht="65" customHeight="1">
      <x:c r="A103" s="30" t="str">
        <x:v>P4</x:v>
      </x:c>
      <x:c r="B103" s="41" t="str">
        <x:v>Mathématiques</x:v>
      </x:c>
      <x:c r="C103" s="41" t="str">
        <x:v>Probabilités</x:v>
      </x:c>
      <x:c r="D103" s="41" t="str">
        <x:v>CM1-MAT-PROBA-01</x:v>
      </x:c>
      <x:c r="E103" s="41" t="str">
        <x:v>L'élève sera capable de distinguer événement certain, impossible ou possible</x:v>
      </x:c>
      <x:c r="F103" s="31" t="str">
        <x:v>Classement correct et justification dans 4 cas sur 5</x:v>
      </x:c>
    </x:row>
    <x:row r="104" ht="65" customHeight="1">
      <x:c r="A104" s="30" t="str">
        <x:v>P4</x:v>
      </x:c>
      <x:c r="B104" s="41" t="str">
        <x:v>Mathématiques</x:v>
      </x:c>
      <x:c r="C104" s="41" t="str">
        <x:v>Probabilités</x:v>
      </x:c>
      <x:c r="D104" s="41" t="str">
        <x:v>CM1-MAT-PROBA-02</x:v>
      </x:c>
      <x:c r="E104" s="41" t="str">
        <x:v>L'élève sera capable de comparer qualitativement les chances de deux événements</x:v>
      </x:c>
      <x:c r="F104" s="31" t="str">
        <x:v>Événement le plus probable identifié et justifié</x:v>
      </x:c>
    </x:row>
    <x:row r="105" ht="65" customHeight="1">
      <x:c r="A105" s="30" t="str">
        <x:v>P4</x:v>
      </x:c>
      <x:c r="B105" s="41" t="str">
        <x:v>Histoire</x:v>
      </x:c>
      <x:c r="C105" s="41" t="str">
        <x:v>Explorations</x:v>
      </x:c>
      <x:c r="D105" s="41" t="str">
        <x:v>CM1-HIS-03</x:v>
      </x:c>
      <x:c r="E105" s="41" t="str">
        <x:v>L'élève sera capable de localiser routes et expliquer motivations, échanges et violences</x:v>
      </x:c>
      <x:c r="F105" s="31" t="str">
        <x:v>Carte renseignée et conséquences présentées de façon nuancée</x:v>
      </x:c>
    </x:row>
    <x:row r="106" ht="65" customHeight="1">
      <x:c r="A106" s="30" t="str">
        <x:v>P4</x:v>
      </x:c>
      <x:c r="B106" s="41" t="str">
        <x:v>Géographie</x:v>
      </x:c>
      <x:c r="C106" s="41" t="str">
        <x:v>Mobilités</x:v>
      </x:c>
      <x:c r="D106" s="41" t="str">
        <x:v>CM1-GEO-04</x:v>
      </x:c>
      <x:c r="E106" s="41" t="str">
        <x:v>L'élève sera capable de comparer des modes de déplacement selon distance, coût et impact</x:v>
      </x:c>
      <x:c r="F106" s="31" t="str">
        <x:v>Choix argumenté à partir d’au moins trois critères</x:v>
      </x:c>
    </x:row>
    <x:row r="107" ht="65" customHeight="1">
      <x:c r="A107" s="30" t="str">
        <x:v>P4</x:v>
      </x:c>
      <x:c r="B107" s="41" t="str">
        <x:v>Sciences et technologie</x:v>
      </x:c>
      <x:c r="C107" s="41" t="str">
        <x:v>Objets techniques</x:v>
      </x:c>
      <x:c r="D107" s="41" t="str">
        <x:v>CM1-SCI-TEC-01</x:v>
      </x:c>
      <x:c r="E107" s="41" t="str">
        <x:v>L'élève sera capable de relier besoin, fonction d’usage et solution technique</x:v>
      </x:c>
      <x:c r="F107" s="31" t="str">
        <x:v>Fonction et solution correctement distinguées</x:v>
      </x:c>
    </x:row>
    <x:row r="108" ht="65" customHeight="1">
      <x:c r="A108" s="30" t="str">
        <x:v>P4</x:v>
      </x:c>
      <x:c r="B108" s="41" t="str">
        <x:v>Sciences et technologie</x:v>
      </x:c>
      <x:c r="C108" s="41" t="str">
        <x:v>Conception</x:v>
      </x:c>
      <x:c r="D108" s="41" t="str">
        <x:v>CM1-SCI-TEC-02</x:v>
      </x:c>
      <x:c r="E108" s="41" t="str">
        <x:v>L'élève sera capable de produire, tester et améliorer un objet répondant à un cahier des charges simple</x:v>
      </x:c>
      <x:c r="F108" s="31" t="str">
        <x:v>Objet fonctionnel et amélioration justifiée après test</x:v>
      </x:c>
    </x:row>
    <x:row r="109" ht="65" customHeight="1">
      <x:c r="A109" s="30" t="str">
        <x:v>P4</x:v>
      </x:c>
      <x:c r="B109" s="41" t="str">
        <x:v>EMC</x:v>
      </x:c>
      <x:c r="C109" s="41" t="str">
        <x:v>Solidarité</x:v>
      </x:c>
      <x:c r="D109" s="41" t="str">
        <x:v>CM1-EMC-05</x:v>
      </x:c>
      <x:c r="E109" s="41" t="str">
        <x:v>L'élève sera capable de proposer et conduire une action simple au service du collectif</x:v>
      </x:c>
      <x:c r="F109" s="31" t="str">
        <x:v>Besoin identifié, action réalisable et bilan effectué</x:v>
      </x:c>
    </x:row>
    <x:row r="110" ht="65" customHeight="1">
      <x:c r="A110" s="30" t="str">
        <x:v>P4</x:v>
      </x:c>
      <x:c r="B110" s="41" t="str">
        <x:v>Anglais</x:v>
      </x:c>
      <x:c r="C110" s="41" t="str">
        <x:v>Médiation</x:v>
      </x:c>
      <x:c r="D110" s="41" t="str">
        <x:v>CM1-ANG-MED-01</x:v>
      </x:c>
      <x:c r="E110" s="41" t="str">
        <x:v>L'élève sera capable de transmettre simplement une information comprise à un camarade</x:v>
      </x:c>
      <x:c r="F110" s="31" t="str">
        <x:v>Information essentielle conservée et reformulée</x:v>
      </x:c>
    </x:row>
    <x:row r="111" ht="65" customHeight="1">
      <x:c r="A111" s="30" t="str">
        <x:v>P4</x:v>
      </x:c>
      <x:c r="B111" s="41" t="str">
        <x:v>EPS</x:v>
      </x:c>
      <x:c r="C111" s="41" t="str">
        <x:v>Expression corporelle</x:v>
      </x:c>
      <x:c r="D111" s="41" t="str">
        <x:v>CM1-EPS-EXP-01</x:v>
      </x:c>
      <x:c r="E111" s="41" t="str">
        <x:v>L'élève sera capable de composer et mémoriser une courte prestation collective</x:v>
      </x:c>
      <x:c r="F111" s="31" t="str">
        <x:v>Début, développement et fin visibles, synchronisation suffisante</x:v>
      </x:c>
    </x:row>
    <x:row r="112" ht="65" customHeight="1">
      <x:c r="A112" s="30" t="str">
        <x:v>P4</x:v>
      </x:c>
      <x:c r="B112" s="41" t="str">
        <x:v>EPS</x:v>
      </x:c>
      <x:c r="C112" s="41" t="str">
        <x:v>Expression corporelle</x:v>
      </x:c>
      <x:c r="D112" s="41" t="str">
        <x:v>CM1-EPS-EXP-02</x:v>
      </x:c>
      <x:c r="E112" s="41" t="str">
        <x:v>L'élève sera capable de produire une émotion et donner un retour précis à un groupe</x:v>
      </x:c>
      <x:c r="F112" s="31" t="str">
        <x:v>Effet recherché perceptible et retour fondé sur deux critères</x:v>
      </x:c>
    </x:row>
    <x:row r="113" ht="65" customHeight="1">
      <x:c r="A113" s="30" t="str">
        <x:v>P4</x:v>
      </x:c>
      <x:c r="B113" s="41" t="str">
        <x:v>Enseignements artistiques</x:v>
      </x:c>
      <x:c r="C113" s="41" t="str">
        <x:v>Histoire des arts</x:v>
      </x:c>
      <x:c r="D113" s="41" t="str">
        <x:v>CM1-ART-HDA-02</x:v>
      </x:c>
      <x:c r="E113" s="41" t="str">
        <x:v>L'élève sera capable de mettre en relation une œuvre avec un fait historique, un lieu ou un usage</x:v>
      </x:c>
      <x:c r="F113" s="31" t="str">
        <x:v>Lien contextualisé et justifié par un détail observé</x:v>
      </x:c>
    </x:row>
    <x:row r="114" ht="65" customHeight="1">
      <x:c r="A114" s="30" t="str">
        <x:v>P5</x:v>
      </x:c>
      <x:c r="B114" s="41" t="str">
        <x:v>Français</x:v>
      </x:c>
      <x:c r="C114" s="41" t="str">
        <x:v>Production d’écrits</x:v>
      </x:c>
      <x:c r="D114" s="41" t="str">
        <x:v>CM1-FRA-ECR-07</x:v>
      </x:c>
      <x:c r="E114" s="41" t="str">
        <x:v>L'élève sera capable de produire une planche de BD ou un dialogue théâtral lisible et cohérent</x:v>
      </x:c>
      <x:c r="F114" s="31" t="str">
        <x:v>Paroles attribuées clairement et progression de l’échange</x:v>
      </x:c>
    </x:row>
    <x:row r="115" ht="65" customHeight="1">
      <x:c r="A115" s="30" t="str">
        <x:v>P5</x:v>
      </x:c>
      <x:c r="B115" s="41" t="str">
        <x:v>Français</x:v>
      </x:c>
      <x:c r="C115" s="41" t="str">
        <x:v>Oral</x:v>
      </x:c>
      <x:c r="D115" s="41" t="str">
        <x:v>CM1-FRA-ORA-04</x:v>
      </x:c>
      <x:c r="E115" s="41" t="str">
        <x:v>L'élève sera capable de rendre compte d’une lecture ou réaliser un exposé bref</x:v>
      </x:c>
      <x:c r="F115" s="31" t="str">
        <x:v>Introduction, informations organisées et conclusion personnelle</x:v>
      </x:c>
    </x:row>
    <x:row r="116" ht="65" customHeight="1">
      <x:c r="A116" s="30" t="str">
        <x:v>P5</x:v>
      </x:c>
      <x:c r="B116" s="41" t="str">
        <x:v>Français</x:v>
      </x:c>
      <x:c r="C116" s="41" t="str">
        <x:v>Conjugaison</x:v>
      </x:c>
      <x:c r="D116" s="41" t="str">
        <x:v>CM1-FRA-CON-04</x:v>
      </x:c>
      <x:c r="E116" s="41" t="str">
        <x:v>L'élève sera capable de former le passé composé et accorder le participe passé avec le sujet après être</x:v>
      </x:c>
      <x:c r="F116" s="31" t="str">
        <x:v>Auxiliaire et participe corrects dans 8 formes sur 10</x:v>
      </x:c>
    </x:row>
    <x:row r="117" ht="65" customHeight="1">
      <x:c r="A117" s="30" t="str">
        <x:v>P5</x:v>
      </x:c>
      <x:c r="B117" s="41" t="str">
        <x:v>Mathématiques</x:v>
      </x:c>
      <x:c r="C117" s="41" t="str">
        <x:v>Résolution de problèmes</x:v>
      </x:c>
      <x:c r="D117" s="41" t="str">
        <x:v>CM1-MAT-PRO-03</x:v>
      </x:c>
      <x:c r="E117" s="41" t="str">
        <x:v>L'élève sera capable de organiser une recherche mobilisant plusieurs domaines et contrôler le résultat</x:v>
      </x:c>
      <x:c r="F117" s="31" t="str">
        <x:v>Démarche lisible, résultat plausible et contrôle explicite</x:v>
      </x:c>
    </x:row>
    <x:row r="118" ht="65" customHeight="1">
      <x:c r="A118" s="30" t="str">
        <x:v>P5</x:v>
      </x:c>
      <x:c r="B118" s="41" t="str">
        <x:v>Mathématiques</x:v>
      </x:c>
      <x:c r="C118" s="41" t="str">
        <x:v>Masses et contenances</x:v>
      </x:c>
      <x:c r="D118" s="41" t="str">
        <x:v>CM1-MAT-MES-03</x:v>
      </x:c>
      <x:c r="E118" s="41" t="str">
        <x:v>L'élève sera capable de estimer, mesurer, convertir et résoudre des problèmes simples</x:v>
      </x:c>
      <x:c r="F118" s="31" t="str">
        <x:v>Unité et ordre de grandeur plausibles, calcul exact</x:v>
      </x:c>
    </x:row>
    <x:row r="119" ht="65" customHeight="1">
      <x:c r="A119" s="30" t="str">
        <x:v>P5</x:v>
      </x:c>
      <x:c r="B119" s="41" t="str">
        <x:v>Mathématiques</x:v>
      </x:c>
      <x:c r="C119" s="41" t="str">
        <x:v>Durées</x:v>
      </x:c>
      <x:c r="D119" s="41" t="str">
        <x:v>CM1-MAT-MES-04</x:v>
      </x:c>
      <x:c r="E119" s="41" t="str">
        <x:v>L'élève sera capable de déterminer une durée ou un horaire en heures et minutes</x:v>
      </x:c>
      <x:c r="F119" s="31" t="str">
        <x:v>Schéma temporel et calcul corrects dans 4 cas sur 5</x:v>
      </x:c>
    </x:row>
    <x:row r="120" ht="65" customHeight="1">
      <x:c r="A120" s="30" t="str">
        <x:v>P5</x:v>
      </x:c>
      <x:c r="B120" s="41" t="str">
        <x:v>Mathématiques</x:v>
      </x:c>
      <x:c r="C120" s="41" t="str">
        <x:v>Angles</x:v>
      </x:c>
      <x:c r="D120" s="41" t="str">
        <x:v>CM1-MAT-MES-05</x:v>
      </x:c>
      <x:c r="E120" s="41" t="str">
        <x:v>L'élève sera capable de identifier, nommer et comparer des angles avec un gabarit</x:v>
      </x:c>
      <x:c r="F120" s="31" t="str">
        <x:v>Comparaison correcte et vocabulaire précis</x:v>
      </x:c>
    </x:row>
    <x:row r="121" ht="65" customHeight="1">
      <x:c r="A121" s="30" t="str">
        <x:v>P5</x:v>
      </x:c>
      <x:c r="B121" s="41" t="str">
        <x:v>Mathématiques</x:v>
      </x:c>
      <x:c r="C121" s="41" t="str">
        <x:v>Symétrie</x:v>
      </x:c>
      <x:c r="D121" s="41" t="str">
        <x:v>CM1-MAT-GEO-03</x:v>
      </x:c>
      <x:c r="E121" s="41" t="str">
        <x:v>L'élève sera capable de compléter une figure par symétrie sur quadrillage</x:v>
      </x:c>
      <x:c r="F121" s="31" t="str">
        <x:v>Points correspondants équidistants de l’axe</x:v>
      </x:c>
    </x:row>
    <x:row r="122" ht="65" customHeight="1">
      <x:c r="A122" s="30" t="str">
        <x:v>P5</x:v>
      </x:c>
      <x:c r="B122" s="41" t="str">
        <x:v>Mathématiques</x:v>
      </x:c>
      <x:c r="C122" s="41" t="str">
        <x:v>Pensée informatique</x:v>
      </x:c>
      <x:c r="D122" s="41" t="str">
        <x:v>CM1-MAT-INF-01</x:v>
      </x:c>
      <x:c r="E122" s="41" t="str">
        <x:v>L'élève sera capable de écrire, exécuter et corriger une suite finie d’instructions</x:v>
      </x:c>
      <x:c r="F122" s="31" t="str">
        <x:v>Algorithme mène au résultat et erreur éventuelle corrigée</x:v>
      </x:c>
    </x:row>
    <x:row r="123" ht="65" customHeight="1">
      <x:c r="A123" s="30" t="str">
        <x:v>P5</x:v>
      </x:c>
      <x:c r="B123" s="41" t="str">
        <x:v>Histoire</x:v>
      </x:c>
      <x:c r="C123" s="41" t="str">
        <x:v>Révolution française</x:v>
      </x:c>
      <x:c r="D123" s="41" t="str">
        <x:v>CM1-HIS-04</x:v>
      </x:c>
      <x:c r="E123" s="41" t="str">
        <x:v>L'élève sera capable de ordonner les événements majeurs et expliquer la rupture politique</x:v>
      </x:c>
      <x:c r="F123" s="31" t="str">
        <x:v>Frise correcte et notion de souveraineté nationale reformulée</x:v>
      </x:c>
    </x:row>
    <x:row r="124" ht="65" customHeight="1">
      <x:c r="A124" s="30" t="str">
        <x:v>P5</x:v>
      </x:c>
      <x:c r="B124" s="41" t="str">
        <x:v>Géographie</x:v>
      </x:c>
      <x:c r="C124" s="41" t="str">
        <x:v>Internet</x:v>
      </x:c>
      <x:c r="D124" s="41" t="str">
        <x:v>CM1-GEO-05</x:v>
      </x:c>
      <x:c r="E124" s="41" t="str">
        <x:v>L'élève sera capable de décrire le trajet matériel d’une information et les inégalités d’accès</x:v>
      </x:c>
      <x:c r="F124" s="31" t="str">
        <x:v>Schéma simple juste et deux enjeux identifiés</x:v>
      </x:c>
    </x:row>
    <x:row r="125" ht="65" customHeight="1">
      <x:c r="A125" s="30" t="str">
        <x:v>P5</x:v>
      </x:c>
      <x:c r="B125" s="41" t="str">
        <x:v>Sciences et technologie</x:v>
      </x:c>
      <x:c r="C125" s="41" t="str">
        <x:v>Environnement</x:v>
      </x:c>
      <x:c r="D125" s="41" t="str">
        <x:v>CM1-SCI-ENV-01</x:v>
      </x:c>
      <x:c r="E125" s="41" t="str">
        <x:v>L'élève sera capable de construire une chaîne alimentaire et expliquer une interaction</x:v>
      </x:c>
      <x:c r="F125" s="31" t="str">
        <x:v>Flèches et relations correctement interprétées</x:v>
      </x:c>
    </x:row>
    <x:row r="126" ht="65" customHeight="1">
      <x:c r="A126" s="30" t="str">
        <x:v>P5</x:v>
      </x:c>
      <x:c r="B126" s="41" t="str">
        <x:v>Sciences et technologie</x:v>
      </x:c>
      <x:c r="C126" s="41" t="str">
        <x:v>Environnement</x:v>
      </x:c>
      <x:c r="D126" s="41" t="str">
        <x:v>CM1-SCI-ENV-02</x:v>
      </x:c>
      <x:c r="E126" s="41" t="str">
        <x:v>L'élève sera capable de évaluer l’effet d’une action humaine et proposer une mesure réaliste</x:v>
      </x:c>
      <x:c r="F126" s="31" t="str">
        <x:v>Effet expliqué par des faits et action argumentée</x:v>
      </x:c>
    </x:row>
    <x:row r="127" ht="65" customHeight="1">
      <x:c r="A127" s="30" t="str">
        <x:v>P5</x:v>
      </x:c>
      <x:c r="B127" s="41" t="str">
        <x:v>EMC</x:v>
      </x:c>
      <x:c r="C127" s="41" t="str">
        <x:v>Citoyenneté numérique</x:v>
      </x:c>
      <x:c r="D127" s="41" t="str">
        <x:v>CM1-EMC-06</x:v>
      </x:c>
      <x:c r="E127" s="41" t="str">
        <x:v>L'élève sera capable de identifier un risque numérique et choisir une conduite protectrice</x:v>
      </x:c>
      <x:c r="F127" s="31" t="str">
        <x:v>Réaction adaptée concernant données, propos ou images</x:v>
      </x:c>
    </x:row>
    <x:row r="128" ht="65" customHeight="1">
      <x:c r="A128" s="32" t="str">
        <x:v>P5</x:v>
      </x:c>
      <x:c r="B128" s="42" t="str">
        <x:v>EPS</x:v>
      </x:c>
      <x:c r="C128" s="42" t="str">
        <x:v>Orientation</x:v>
      </x:c>
      <x:c r="D128" s="42" t="str">
        <x:v>CM1-EPS-ORI-01</x:v>
      </x:c>
      <x:c r="E128" s="42" t="str">
        <x:v>L'élève sera capable de prélever des indices et réaliser un parcours défini</x:v>
      </x:c>
      <x:c r="F128" s="33" t="str">
        <x:v>Balises trouvées dans l’ordre et temps respecté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40" hidden="0" customWidth="1"/>
    <x:col min="3" max="3" width="72" hidden="0" customWidth="1"/>
  </x:cols>
  <x:sheetData>
    <x:row r="1" ht="30" customHeight="1">
      <x:c r="A1" s="4" t="str">
        <x:v>Sources et règles d’utilisation</x:v>
      </x:c>
      <x:c r="B1" s="4"/>
      <x:c r="C1" s="4"/>
    </x:row>
    <x:row r="2" ht="28" customHeight="1">
      <x:c r="A2" s="8" t="str">
        <x:v>Le BO reste la référence normative ; les méthodes organisent les supports et séquences</x:v>
      </x:c>
      <x:c r="B2" s="8"/>
      <x:c r="C2" s="8"/>
    </x:row>
    <x:row r="4">
      <x:c r="A4" s="14" t="str">
        <x:v>Source</x:v>
      </x:c>
      <x:c r="B4" s="14" t="str">
        <x:v>Usage</x:v>
      </x:c>
      <x:c r="C4" s="14" t="str">
        <x:v>Précision</x:v>
      </x:c>
    </x:row>
    <x:row r="5" ht="42" customHeight="1">
      <x:c r="A5" s="28" t="str">
        <x:v>BO français cycle 3</x:v>
      </x:c>
      <x:c r="B5" s="40" t="str">
        <x:v>Compétences et attendus</x:v>
      </x:c>
      <x:c r="C5" s="29" t="str">
        <x:v>Programme publié au BO n°16 du 17 avril 2025</x:v>
      </x:c>
    </x:row>
    <x:row r="6" ht="42" customHeight="1">
      <x:c r="A6" s="30" t="str">
        <x:v>BO mathématiques cycle 3</x:v>
      </x:c>
      <x:c r="B6" s="41" t="str">
        <x:v>Compétences et attendus</x:v>
      </x:c>
      <x:c r="C6" s="31" t="str">
        <x:v>Programme publié au BO n°16 du 17 avril 2025</x:v>
      </x:c>
    </x:row>
    <x:row r="7" ht="42" customHeight="1">
      <x:c r="A7" s="30" t="str">
        <x:v>Mot de passe CM1</x:v>
      </x:c>
      <x:c r="B7" s="41" t="str">
        <x:v>Organisation du français</x:v>
      </x:c>
      <x:c r="C7" s="31" t="str">
        <x:v>Terminologie ancienne corrigée et compléments BO intégrés</x:v>
      </x:c>
    </x:row>
    <x:row r="8" ht="42" customHeight="1">
      <x:c r="A8" s="30" t="str">
        <x:v>Programmation ACCÈS Maths CM1</x:v>
      </x:c>
      <x:c r="B8" s="41" t="str">
        <x:v>Ordre des séquences</x:v>
      </x:c>
      <x:c r="C8" s="31" t="str">
        <x:v>Complétée par données, repérage spatial et pensée informatique</x:v>
      </x:c>
    </x:row>
    <x:row r="9" ht="42" customHeight="1">
      <x:c r="A9" s="30" t="str">
        <x:v>BO histoire-géographie</x:v>
      </x:c>
      <x:c r="B9" s="41" t="str">
        <x:v>Progression disciplinaire</x:v>
      </x:c>
      <x:c r="C9" s="31" t="str">
        <x:v>Document local</x:v>
      </x:c>
    </x:row>
    <x:row r="10" ht="42" customHeight="1">
      <x:c r="A10" s="30" t="str">
        <x:v>BO sciences et technologie</x:v>
      </x:c>
      <x:c r="B10" s="41" t="str">
        <x:v>Progression disciplinaire</x:v>
      </x:c>
      <x:c r="C10" s="31" t="str">
        <x:v>Document local</x:v>
      </x:c>
    </x:row>
    <x:row r="11" ht="42" customHeight="1">
      <x:c r="A11" s="30" t="str">
        <x:v>BO EMC</x:v>
      </x:c>
      <x:c r="B11" s="41" t="str">
        <x:v>Progression disciplinaire</x:v>
      </x:c>
      <x:c r="C11" s="31" t="str">
        <x:v>Document local</x:v>
      </x:c>
    </x:row>
    <x:row r="12" ht="42" customHeight="1">
      <x:c r="A12" s="30" t="str">
        <x:v>BO LVER</x:v>
      </x:c>
      <x:c r="B12" s="41" t="str">
        <x:v>Progression anglais</x:v>
      </x:c>
      <x:c r="C12" s="31" t="str">
        <x:v>Document local</x:v>
      </x:c>
    </x:row>
    <x:row r="13" ht="42" customHeight="1">
      <x:c r="A13" s="32" t="str">
        <x:v>BO EPS</x:v>
      </x:c>
      <x:c r="B13" s="42" t="str">
        <x:v>Progression disciplinaire</x:v>
      </x:c>
      <x:c r="C13" s="33" t="str">
        <x:v>Document local</x:v>
      </x:c>
    </x:row>
  </x:sheetData>
  <x:mergeCells>
    <x:mergeCell ref="A1:C1"/>
    <x:mergeCell ref="A2:C2"/>
  </x:mergeCells>
  <x:pageMargins left="0.7" right="0.7" top="0.75" bottom="0.75" header="0.3" footer="0.3"/>
</x:worksheet>
</file>